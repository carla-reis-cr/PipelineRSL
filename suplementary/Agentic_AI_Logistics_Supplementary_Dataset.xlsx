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885d1edf5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ac913a3720a4d2e"/>
    <x:sheet xmlns:r="http://schemas.openxmlformats.org/officeDocument/2006/relationships" name="Selection Flow" sheetId="2" r:id="Rf1ec68040bf14835"/>
    <x:sheet xmlns:r="http://schemas.openxmlformats.org/officeDocument/2006/relationships" name="Primary Studies" sheetId="3" r:id="R4a752aed2dc8483a"/>
    <x:sheet xmlns:r="http://schemas.openxmlformats.org/officeDocument/2006/relationships" name="Study Classifications" sheetId="4" r:id="Rcd451edd5b9e437f"/>
    <x:sheet xmlns:r="http://schemas.openxmlformats.org/officeDocument/2006/relationships" name="Quality Assessment" sheetId="5" r:id="R37c9a52dceef44a7"/>
    <x:sheet xmlns:r="http://schemas.openxmlformats.org/officeDocument/2006/relationships" name="QA Criteria" sheetId="6" r:id="Rbc9a44d98a6f4cb6"/>
    <x:sheet xmlns:r="http://schemas.openxmlformats.org/officeDocument/2006/relationships" name="Analytical Summary" sheetId="7" r:id="R1e1aa9eaa92340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#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3F6F9"/>
      </x:patternFill>
    </x:fill>
  </x:fills>
  <x:borders count="2">
    <x:border>
      <x:left/>
      <x:right/>
      <x:top/>
      <x:bottom/>
      <x:diagonal/>
    </x:border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0a607617c4aec" /><Relationship Type="http://schemas.openxmlformats.org/officeDocument/2006/relationships/theme" Target="/xl/theme/theme1.xml" Id="R9c371ede47d0467f" /><Relationship Type="http://schemas.openxmlformats.org/officeDocument/2006/relationships/sharedStrings" Target="/xl/sharedStrings.xml" Id="R6d65264615094984" /><Relationship Type="http://schemas.openxmlformats.org/officeDocument/2006/relationships/worksheet" Target="/xl/worksheets/sheet1.xml" Id="R2ac913a3720a4d2e" /><Relationship Type="http://schemas.openxmlformats.org/officeDocument/2006/relationships/worksheet" Target="/xl/worksheets/sheet2.xml" Id="Rf1ec68040bf14835" /><Relationship Type="http://schemas.openxmlformats.org/officeDocument/2006/relationships/worksheet" Target="/xl/worksheets/sheet3.xml" Id="R4a752aed2dc8483a" /><Relationship Type="http://schemas.openxmlformats.org/officeDocument/2006/relationships/worksheet" Target="/xl/worksheets/sheet4.xml" Id="Rcd451edd5b9e437f" /><Relationship Type="http://schemas.openxmlformats.org/officeDocument/2006/relationships/worksheet" Target="/xl/worksheets/sheet5.xml" Id="R37c9a52dceef44a7" /><Relationship Type="http://schemas.openxmlformats.org/officeDocument/2006/relationships/worksheet" Target="/xl/worksheets/sheet6.xml" Id="Rbc9a44d98a6f4cb6" /><Relationship Type="http://schemas.openxmlformats.org/officeDocument/2006/relationships/worksheet" Target="/xl/worksheets/sheet7.xml" Id="R1e1aa9eaa92340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2" t="str">
        <x:v>Agentic AI in Logistics Operations: Supplementary Review Dataset</x:v>
      </x:c>
      <x:c r="B1" s="2"/>
      <x:c r="C1" s="2"/>
      <x:c r="D1" s="2"/>
      <x:c r="E1" s="2"/>
      <x:c r="F1" s="2"/>
    </x:row>
    <x:row r="3" ht="15" hidden="0" customHeight="1">
      <x:c r="A3" s="9" t="str">
        <x:v>Purpose</x:v>
      </x:c>
      <x:c r="B3" s="10" t="str">
        <x:v>Reviewer-facing dataset supporting the systematic literature review and its study-level taxonomies.</x:v>
      </x:c>
    </x:row>
    <x:row r="4" ht="15" hidden="0" customHeight="1">
      <x:c r="A4" s="9" t="str">
        <x:v>Corpus</x:v>
      </x:c>
      <x:c r="B4" s="10" t="str">
        <x:v>30 primary studies (S01–S30), selected from 20,092 initial records retrieved from nine bibliographic sources.</x:v>
      </x:c>
    </x:row>
    <x:row r="5" ht="15" hidden="0" customHeight="1">
      <x:c r="A5" s="9" t="str">
        <x:v>Observation window</x:v>
      </x:c>
      <x:c r="B5" s="10" t="str">
        <x:v>January 2016 through August 2026. No eligible study published before 2023 was retained.</x:v>
      </x:c>
    </x:row>
    <x:row r="6" ht="26.399999618530273" hidden="0" customHeight="1">
      <x:c r="A6" s="9" t="str">
        <x:v>Coding principle</x:v>
      </x:c>
      <x:c r="B6" s="10" t="str">
        <x:v>Logistics operations, paradigms, architectures, and capabilities are multi-label dimensions. Primary operation, primary paradigm, dominant topology, confirmed autonomy, and evidence maturity use one final classification per study.</x:v>
      </x:c>
    </x:row>
    <x:row r="7" ht="26.399999618530273" hidden="0" customHeight="1">
      <x:c r="A7" s="9" t="str">
        <x:v>Capabilities</x:v>
      </x:c>
      <x:c r="B7" s="10" t="str">
        <x:v>Only capabilities confirmed during full-text reading are counted as demonstrated. S06 is conceptual and therefore has no demonstrated capability-family assignment.</x:v>
      </x:c>
    </x:row>
    <x:row r="8" ht="26.399999618530273" hidden="0" customHeight="1">
      <x:c r="A8" s="9" t="str">
        <x:v>Autonomy</x:v>
      </x:c>
      <x:c r="B8" s="10" t="str">
        <x:v>Levels represent demonstrated decision authority: L3 decision support; L4 supervised execution; L5 conditional autonomy; L6 full operational autonomy.</x:v>
      </x:c>
    </x:row>
    <x:row r="9" ht="26.399999618530273" hidden="0" customHeight="1">
      <x:c r="A9" s="9" t="str">
        <x:v>Evidence maturity</x:v>
      </x:c>
      <x:c r="B9" s="10" t="str">
        <x:v>EM1 prototype/PoC; EM2 controlled experiment, simulation, benchmark, or synthetic data; EM3 real/historical data; EM4 real-world pilot or case study; EM5 operational deployment.</x:v>
      </x:c>
    </x:row>
    <x:row r="10" ht="15" hidden="0" customHeight="1">
      <x:c r="A10" s="9" t="str">
        <x:v>Quality score</x:v>
      </x:c>
      <x:c r="B10" s="10" t="str">
        <x:v>QA1–QA12 are scored 1 (yes), 0.5 (partial), 0 (no), or N/A. Quality score = sum of applicable scores / number of applicable criteria × 100.</x:v>
      </x:c>
    </x:row>
    <x:row r="11" ht="15" hidden="0" customHeight="1">
      <x:c r="A11" s="9" t="str">
        <x:v>Quality classes</x:v>
      </x:c>
      <x:c r="B11" s="10" t="str">
        <x:v>Low: &lt;40%; Moderate: 40%–69.9%; High: ≥70%. Methodological quality and evidence maturity are distinct constructs.</x:v>
      </x:c>
    </x:row>
    <x:row r="12" ht="15" hidden="0" customHeight="1">
      <x:c r="A12" s="9" t="str">
        <x:v>Source identifiers</x:v>
      </x:c>
      <x:c r="B12" s="10" t="str">
        <x:v>Study IDs S01–S30 match the manuscript tables and figures. Pipeline IDs preserve traceability to the review workflow.</x:v>
      </x:c>
    </x:row>
    <x:row r="13" ht="26.399999618530273" hidden="0" customHeight="1">
      <x:c r="A13" s="9" t="str">
        <x:v>Files not redistributed</x:v>
      </x:c>
      <x:c r="B13" s="10" t="str">
        <x:v>Full texts are not included because they remain subject to publisher copyright and access conditions. DOI/URL metadata are provided in the Primary Studies sheet.</x:v>
      </x:c>
    </x:row>
    <x:row r="14" ht="26.399999618530273" hidden="0" customHeight="1">
      <x:c r="A14" s="9" t="str">
        <x:v>Version note</x:v>
      </x:c>
      <x:c r="B14" s="10" t="str">
        <x:v>This public workbook consolidates final classifications used in the manuscript and omits internal working notes, preliminary suggestions, and superseded counts.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8" hidden="0" customWidth="1"/>
    <x:col min="5" max="5" width="52" hidden="0" customWidth="1"/>
    <x:col min="6" max="6" width="28" hidden="0" customWidth="1"/>
  </x:cols>
  <x:sheetData>
    <x:row r="1" ht="15" hidden="0" customHeight="1">
      <x:c r="A1" s="15" t="str">
        <x:v>Stage</x:v>
      </x:c>
      <x:c r="B1" s="15" t="str">
        <x:v>Records entering</x:v>
      </x:c>
      <x:c r="C1" s="15" t="str">
        <x:v>Records excluded</x:v>
      </x:c>
      <x:c r="D1" s="15" t="str">
        <x:v>Records remaining</x:v>
      </x:c>
      <x:c r="E1" s="15" t="str">
        <x:v>Criterion or action</x:v>
      </x:c>
      <x:c r="F1" s="15" t="str">
        <x:v>Evidence source</x:v>
      </x:c>
    </x:row>
    <x:row r="2" ht="15" hidden="0" customHeight="1">
      <x:c r="A2" s="21" t="str">
        <x:v>Initial search — 9 bibliographic sources (2016–2026)</x:v>
      </x:c>
      <x:c r="B2" s="21"/>
      <x:c r="C2" s="21"/>
      <x:c r="D2" s="21" t="n">
        <x:v>20092</x:v>
      </x:c>
      <x:c r="E2" s="21" t="str">
        <x:v>Complete search string adapted only to source syntax</x:v>
      </x:c>
      <x:c r="F2" s="21" t="str">
        <x:v>Project search log</x:v>
      </x:c>
    </x:row>
    <x:row r="3" ht="15" hidden="0" customHeight="1">
      <x:c r="A3" s="10" t="str">
        <x:v>Impurity removal (source-level)</x:v>
      </x:c>
      <x:c r="B3" s="10" t="n">
        <x:v>20092</x:v>
      </x:c>
      <x:c r="C3" s="10" t="n">
        <x:v>1053</x:v>
      </x:c>
      <x:c r="D3" s="10" t="n">
        <x:v>19039</x:v>
      </x:c>
      <x:c r="E3" s="10" t="str">
        <x:v>Document type, retractions, and missing metadata</x:v>
      </x:c>
      <x:c r="F3" s="10" t="str">
        <x:v>Pipeline records</x:v>
      </x:c>
    </x:row>
    <x:row r="4" ht="15" hidden="0" customHeight="1">
      <x:c r="A4" s="21" t="str">
        <x:v>Title screening</x:v>
      </x:c>
      <x:c r="B4" s="21" t="n">
        <x:v>19039</x:v>
      </x:c>
      <x:c r="C4" s="21" t="n">
        <x:v>16986</x:v>
      </x:c>
      <x:c r="D4" s="21" t="n">
        <x:v>2053</x:v>
      </x:c>
      <x:c r="E4" s="21" t="str">
        <x:v>Agent-related term and logistics context</x:v>
      </x:c>
      <x:c r="F4" s="21" t="str">
        <x:v>Pipeline records</x:v>
      </x:c>
    </x:row>
    <x:row r="5" ht="15" hidden="0" customHeight="1">
      <x:c r="A5" s="10" t="str">
        <x:v>Post-title correction</x:v>
      </x:c>
      <x:c r="B5" s="10" t="n">
        <x:v>2053</x:v>
      </x:c>
      <x:c r="C5" s="10" t="n">
        <x:v>16</x:v>
      </x:c>
      <x:c r="D5" s="10" t="n">
        <x:v>2037</x:v>
      </x:c>
      <x:c r="E5" s="10" t="str">
        <x:v>SSRN preprints and retracted records</x:v>
      </x:c>
      <x:c r="F5" s="10" t="str">
        <x:v>Pipeline records</x:v>
      </x:c>
    </x:row>
    <x:row r="6" ht="15" hidden="0" customHeight="1">
      <x:c r="A6" s="21" t="str">
        <x:v>Abstract screening</x:v>
      </x:c>
      <x:c r="B6" s="21" t="n">
        <x:v>2037</x:v>
      </x:c>
      <x:c r="C6" s="21" t="n">
        <x:v>711</x:v>
      </x:c>
      <x:c r="D6" s="21" t="n">
        <x:v>1326</x:v>
      </x:c>
      <x:c r="E6" s="21" t="str">
        <x:v>IC5–IC7 applied to title/abstract information</x:v>
      </x:c>
      <x:c r="F6" s="21" t="str">
        <x:v>Pipeline records</x:v>
      </x:c>
    </x:row>
    <x:row r="7" ht="15" hidden="0" customHeight="1">
      <x:c r="A7" s="10" t="str">
        <x:v>Combination and deduplication</x:v>
      </x:c>
      <x:c r="B7" s="10" t="n">
        <x:v>1326</x:v>
      </x:c>
      <x:c r="C7" s="10" t="n">
        <x:v>381</x:v>
      </x:c>
      <x:c r="D7" s="10" t="n">
        <x:v>945</x:v>
      </x:c>
      <x:c r="E7" s="10" t="str">
        <x:v>EC8 — duplicate work retrieved from multiple sources</x:v>
      </x:c>
      <x:c r="F7" s="10" t="str">
        <x:v>Pipeline records</x:v>
      </x:c>
    </x:row>
    <x:row r="8" ht="15" hidden="0" customHeight="1">
      <x:c r="A8" s="21" t="str">
        <x:v>Length filter</x:v>
      </x:c>
      <x:c r="B8" s="21" t="n">
        <x:v>945</x:v>
      </x:c>
      <x:c r="C8" s="21" t="n">
        <x:v>11</x:v>
      </x:c>
      <x:c r="D8" s="21" t="n">
        <x:v>934</x:v>
      </x:c>
      <x:c r="E8" s="21" t="str">
        <x:v>EC2 — papers of four pages or fewer</x:v>
      </x:c>
      <x:c r="F8" s="21" t="str">
        <x:v>Pipeline records</x:v>
      </x:c>
    </x:row>
    <x:row r="9" ht="15" hidden="0" customHeight="1">
      <x:c r="A9" s="10" t="str">
        <x:v>Extended abstract screening (three batches)</x:v>
      </x:c>
      <x:c r="B9" s="10" t="n">
        <x:v>934</x:v>
      </x:c>
      <x:c r="C9" s="10" t="n">
        <x:v>292</x:v>
      </x:c>
      <x:c r="D9" s="10" t="n">
        <x:v>642</x:v>
      </x:c>
      <x:c r="E9" s="10" t="str">
        <x:v>EC3–EC6 applied to abstract information</x:v>
      </x:c>
      <x:c r="F9" s="10" t="str">
        <x:v>Consolidated review log</x:v>
      </x:c>
    </x:row>
    <x:row r="10" ht="15" hidden="0" customHeight="1">
      <x:c r="A10" s="21" t="str">
        <x:v>Rigorous agentic review</x:v>
      </x:c>
      <x:c r="B10" s="21" t="n">
        <x:v>642</x:v>
      </x:c>
      <x:c r="C10" s="21" t="n">
        <x:v>365</x:v>
      </x:c>
      <x:c r="D10" s="21" t="n">
        <x:v>277</x:v>
      </x:c>
      <x:c r="E10" s="21" t="str">
        <x:v>EC5/EC12 — substantive agency</x:v>
      </x:c>
      <x:c r="F10" s="21" t="str">
        <x:v>Consolidated review log</x:v>
      </x:c>
    </x:row>
    <x:row r="11" ht="15" hidden="0" customHeight="1">
      <x:c r="A11" s="10" t="str">
        <x:v>Focused software-level selection</x:v>
      </x:c>
      <x:c r="B11" s="10" t="n">
        <x:v>277</x:v>
      </x:c>
      <x:c r="C11" s="10" t="n">
        <x:v>175</x:v>
      </x:c>
      <x:c r="D11" s="10" t="n">
        <x:v>102</x:v>
      </x:c>
      <x:c r="E11" s="10" t="str">
        <x:v>EC11/EC12 — four operational gates</x:v>
      </x:c>
      <x:c r="F11" s="10" t="str">
        <x:v>Consolidated review log</x:v>
      </x:c>
    </x:row>
    <x:row r="12" ht="15" hidden="0" customHeight="1">
      <x:c r="A12" s="21" t="str">
        <x:v>Manual three-pass reading</x:v>
      </x:c>
      <x:c r="B12" s="21" t="n">
        <x:v>102</x:v>
      </x:c>
      <x:c r="C12" s="21" t="n">
        <x:v>19</x:v>
      </x:c>
      <x:c r="D12" s="21" t="n">
        <x:v>83</x:v>
      </x:c>
      <x:c r="E12" s="21" t="str">
        <x:v>EC12 — no transferable agentic contribution</x:v>
      </x:c>
      <x:c r="F12" s="21" t="str">
        <x:v>Manual review log</x:v>
      </x:c>
    </x:row>
    <x:row r="13" ht="15" hidden="0" customHeight="1">
      <x:c r="A13" s="10" t="str">
        <x:v>Full texts effectively analyzed</x:v>
      </x:c>
      <x:c r="B13" s="10" t="n">
        <x:v>83</x:v>
      </x:c>
      <x:c r="C13" s="10" t="n">
        <x:v>1</x:v>
      </x:c>
      <x:c r="D13" s="10" t="n">
        <x:v>82</x:v>
      </x:c>
      <x:c r="E13" s="10" t="str">
        <x:v>One additional record excluded during manual reading</x:v>
      </x:c>
      <x:c r="F13" s="10" t="str">
        <x:v>Manual review log</x:v>
      </x:c>
    </x:row>
    <x:row r="14" ht="15" hidden="0" customHeight="1">
      <x:c r="A14" s="21" t="str">
        <x:v>Modern agentic capability gate</x:v>
      </x:c>
      <x:c r="B14" s="21" t="n">
        <x:v>82</x:v>
      </x:c>
      <x:c r="C14" s="21" t="n">
        <x:v>50</x:v>
      </x:c>
      <x:c r="D14" s="21" t="n">
        <x:v>32</x:v>
      </x:c>
      <x:c r="E14" s="21" t="str">
        <x:v>At least one modern agentic capability in the system core</x:v>
      </x:c>
      <x:c r="F14" s="21" t="str">
        <x:v>Full-text coding records</x:v>
      </x:c>
    </x:row>
    <x:row r="15" ht="15" hidden="0" customHeight="1">
      <x:c r="A15" s="10" t="str">
        <x:v>Final FQ1–FQ4 reading</x:v>
      </x:c>
      <x:c r="B15" s="10" t="n">
        <x:v>32</x:v>
      </x:c>
      <x:c r="C15" s="10" t="n">
        <x:v>2</x:v>
      </x:c>
      <x:c r="D15" s="10" t="n">
        <x:v>30</x:v>
      </x:c>
      <x:c r="E15" s="10" t="str">
        <x:v>No confirmed agentic paradigm after full-text reading</x:v>
      </x:c>
      <x:c r="F15" s="10" t="str">
        <x:v>Full-text coding records</x:v>
      </x:c>
    </x:row>
    <x:row r="16" ht="15" hidden="0" customHeight="1">
      <x:c r="A16" s="22" t="str">
        <x:v>FINAL CORPUS</x:v>
      </x:c>
      <x:c r="B16" s="22"/>
      <x:c r="C16" s="22"/>
      <x:c r="D16" s="22" t="n">
        <x:v>30</x:v>
      </x:c>
      <x:c r="E16" s="22" t="str"/>
      <x:c r="F16" s="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9" hidden="0" customWidth="1"/>
    <x:col min="4" max="4" width="62" hidden="0" customWidth="1"/>
    <x:col min="5" max="5" width="18" hidden="0" customWidth="1"/>
    <x:col min="6" max="6" width="46" hidden="0" customWidth="1"/>
    <x:col min="7" max="7" width="42" hidden="0" customWidth="1"/>
    <x:col min="8" max="8" width="34" hidden="0" customWidth="1"/>
    <x:col min="9" max="9" width="26" hidden="0" customWidth="1"/>
    <x:col min="10" max="10" width="34" hidden="0" customWidth="1"/>
    <x:col min="11" max="11" width="32" hidden="0" customWidth="1"/>
    <x:col min="12" max="12" width="26" hidden="0" customWidth="1"/>
    <x:col min="13" max="13" width="38" hidden="0" customWidth="1"/>
    <x:col min="14" max="14" width="18" hidden="0" customWidth="1"/>
    <x:col min="15" max="15" width="16" hidden="0" customWidth="1"/>
  </x:cols>
  <x:sheetData>
    <x:row r="1" ht="15" hidden="0" customHeight="1">
      <x:c r="A1" s="15" t="str">
        <x:v>Study ID</x:v>
      </x:c>
      <x:c r="B1" s="15" t="str">
        <x:v>Pipeline ID</x:v>
      </x:c>
      <x:c r="C1" s="15" t="str">
        <x:v>Year</x:v>
      </x:c>
      <x:c r="D1" s="15" t="str">
        <x:v>Title</x:v>
      </x:c>
      <x:c r="E1" s="15" t="str">
        <x:v>Retained source</x:v>
      </x:c>
      <x:c r="F1" s="15" t="str">
        <x:v>Publication venue</x:v>
      </x:c>
      <x:c r="G1" s="15" t="str">
        <x:v>DOI or URL</x:v>
      </x:c>
      <x:c r="H1" s="15" t="str">
        <x:v>Primary logistics-operation family</x:v>
      </x:c>
      <x:c r="I1" s="15" t="str">
        <x:v>Primary operation</x:v>
      </x:c>
      <x:c r="J1" s="15" t="str">
        <x:v>Primary agentic paradigm</x:v>
      </x:c>
      <x:c r="K1" s="15" t="str">
        <x:v>Dominant architectural topology</x:v>
      </x:c>
      <x:c r="L1" s="15" t="str">
        <x:v>Confirmed autonomy</x:v>
      </x:c>
      <x:c r="M1" s="15" t="str">
        <x:v>Evidence maturity</x:v>
      </x:c>
      <x:c r="N1" s="15" t="str">
        <x:v>Quality score (%)</x:v>
      </x:c>
      <x:c r="O1" s="15" t="str">
        <x:v>Quality class</x:v>
      </x:c>
    </x:row>
    <x:row r="2" ht="26.399999618530273" hidden="0" customHeight="1">
      <x:c r="A2" s="21" t="str">
        <x:v>S01</x:v>
      </x:c>
      <x:c r="B2" s="21" t="n">
        <x:v>7</x:v>
      </x:c>
      <x:c r="C2" s="21" t="n">
        <x:v>2026</x:v>
      </x:c>
      <x:c r="D2" s="21" t="str">
        <x:v>Operationalizing Generative and Agentic AI Across Complex Logistics Networks: Architecture, Governance, and Trust Models</x:v>
      </x:c>
      <x:c r="E2" s="21" t="str">
        <x:v>ieee_xplore</x:v>
      </x:c>
      <x:c r="F2" s="21" t="str">
        <x:v>2026 ASU International Conference in Emerging Technologies for Sustainability and Intelligent Systems (ICETSIS)</x:v>
      </x:c>
      <x:c r="G2" s="21" t="str">
        <x:v>https://ieeexplore.ieee.org/document/11549394/</x:v>
      </x:c>
      <x:c r="H2" s="21" t="str">
        <x:v>Planning, sourcing, and network design</x:v>
      </x:c>
      <x:c r="I2" s="21" t="str">
        <x:v>Supply chain planning</x:v>
      </x:c>
      <x:c r="J2" s="21" t="str">
        <x:v>Mixed intelligent-agent system</x:v>
      </x:c>
      <x:c r="K2" s="21" t="str">
        <x:v>Hybrid distributed and governed</x:v>
      </x:c>
      <x:c r="L2" s="21" t="str">
        <x:v>L5 — Conditional autonomy</x:v>
      </x:c>
      <x:c r="M2" s="21" t="str">
        <x:v>EM2 — Experimental (simulation / benchmark / synthetic data)</x:v>
      </x:c>
      <x:c r="N2" s="23" t="n">
        <x:v>54.166666666666664</x:v>
      </x:c>
      <x:c r="O2" s="21" t="str">
        <x:v>Moderate</x:v>
      </x:c>
    </x:row>
    <x:row r="3" ht="26.399999618530273" hidden="0" customHeight="1">
      <x:c r="A3" s="10" t="str">
        <x:v>S02</x:v>
      </x:c>
      <x:c r="B3" s="10" t="n">
        <x:v>30</x:v>
      </x:c>
      <x:c r="C3" s="10" t="n">
        <x:v>2026</x:v>
      </x:c>
      <x:c r="D3" s="10" t="str">
        <x:v>RMAS: Risk Mitigation Agent System, An Autonomous Framework for Real-Time Supply Chain Risk Management</x:v>
      </x:c>
      <x:c r="E3" s="10" t="str">
        <x:v>ieee_xplore</x:v>
      </x:c>
      <x:c r="F3" s="10" t="str">
        <x:v>IEEE Engineering Management Review</x:v>
      </x:c>
      <x:c r="G3" s="10" t="str">
        <x:v>https://ieeexplore.ieee.org/document/11538978/</x:v>
      </x:c>
      <x:c r="H3" s="10" t="str">
        <x:v>Planning, sourcing, and network design</x:v>
      </x:c>
      <x:c r="I3" s="10" t="str">
        <x:v>Supply chain risk management</x:v>
      </x:c>
      <x:c r="J3" s="10" t="str">
        <x:v>LLM-centered agent system</x:v>
      </x:c>
      <x:c r="K3" s="10" t="str">
        <x:v>Hierarchical or orchestrated</x:v>
      </x:c>
      <x:c r="L3" s="10" t="str">
        <x:v>L5 — Conditional autonomy</x:v>
      </x:c>
      <x:c r="M3" s="10" t="str">
        <x:v>EM2 — Experimental (simulation / benchmark / synthetic data)</x:v>
      </x:c>
      <x:c r="N3" s="17" t="n">
        <x:v>95.83333333333334</x:v>
      </x:c>
      <x:c r="O3" s="10" t="str">
        <x:v>High</x:v>
      </x:c>
    </x:row>
    <x:row r="4" ht="26.399999618530273" hidden="0" customHeight="1">
      <x:c r="A4" s="21" t="str">
        <x:v>S03</x:v>
      </x:c>
      <x:c r="B4" s="21" t="n">
        <x:v>51</x:v>
      </x:c>
      <x:c r="C4" s="21" t="n">
        <x:v>2026</x:v>
      </x:c>
      <x:c r="D4" s="21" t="str">
        <x:v>Embodied Intelligent Agents for Adaptive Logistics Scheduling in Power Equipment Supply Networks</x:v>
      </x:c>
      <x:c r="E4" s="21" t="str">
        <x:v>ieee_xplore</x:v>
      </x:c>
      <x:c r="F4" s="21" t="str">
        <x:v>2026 2nd International Symposium on AI-Driven Engineering Systems (ISADES)</x:v>
      </x:c>
      <x:c r="G4" s="21" t="str">
        <x:v>https://ieeexplore.ieee.org/document/11608150/</x:v>
      </x:c>
      <x:c r="H4" s="21" t="str">
        <x:v>Planning, sourcing, and network design</x:v>
      </x:c>
      <x:c r="I4" s="21" t="str">
        <x:v>Supply chain planning</x:v>
      </x:c>
      <x:c r="J4" s="21" t="str">
        <x:v>Hybrid LLM and symbolic or analytical system</x:v>
      </x:c>
      <x:c r="K4" s="21" t="str">
        <x:v>Hierarchical or orchestrated</x:v>
      </x:c>
      <x:c r="L4" s="21" t="str">
        <x:v>L6 — Full operational autonomy</x:v>
      </x:c>
      <x:c r="M4" s="21" t="str">
        <x:v>EM2 — Experimental (simulation / benchmark / synthetic data)</x:v>
      </x:c>
      <x:c r="N4" s="23" t="n">
        <x:v>91.66666666666666</x:v>
      </x:c>
      <x:c r="O4" s="21" t="str">
        <x:v>High</x:v>
      </x:c>
    </x:row>
    <x:row r="5" ht="26.399999618530273" hidden="0" customHeight="1">
      <x:c r="A5" s="10" t="str">
        <x:v>S04</x:v>
      </x:c>
      <x:c r="B5" s="10" t="n">
        <x:v>86</x:v>
      </x:c>
      <x:c r="C5" s="10" t="n">
        <x:v>2026</x:v>
      </x:c>
      <x:c r="D5" s="10" t="str">
        <x:v>Engineering Guided Determinism in Neuro-Symbolic Agents: A Comparative Study of Orchestration Strategies for Supply Chain Replenishment</x:v>
      </x:c>
      <x:c r="E5" s="10" t="str">
        <x:v>ieee_xplore</x:v>
      </x:c>
      <x:c r="F5" s="10" t="str">
        <x:v>2026 IEEE 50th Annual Computers, Software, and Applications Conference (COMPSAC)</x:v>
      </x:c>
      <x:c r="G5" s="10" t="str">
        <x:v>https://ieeexplore.ieee.org/document/11645263/</x:v>
      </x:c>
      <x:c r="H5" s="10" t="str">
        <x:v>Inventory and internal logistics</x:v>
      </x:c>
      <x:c r="I5" s="10" t="str">
        <x:v>Inventory management</x:v>
      </x:c>
      <x:c r="J5" s="10" t="str">
        <x:v>Hybrid LLM and symbolic or analytical system</x:v>
      </x:c>
      <x:c r="K5" s="10" t="str">
        <x:v>Hierarchical or orchestrated</x:v>
      </x:c>
      <x:c r="L5" s="10" t="str">
        <x:v>L6 — Full operational autonomy</x:v>
      </x:c>
      <x:c r="M5" s="10" t="str">
        <x:v>EM2 — Experimental (simulation / benchmark / synthetic data)</x:v>
      </x:c>
      <x:c r="N5" s="17" t="n">
        <x:v>83.33333333333334</x:v>
      </x:c>
      <x:c r="O5" s="10" t="str">
        <x:v>High</x:v>
      </x:c>
    </x:row>
    <x:row r="6" ht="26.399999618530273" hidden="0" customHeight="1">
      <x:c r="A6" s="21" t="str">
        <x:v>S05</x:v>
      </x:c>
      <x:c r="B6" s="21" t="n">
        <x:v>171</x:v>
      </x:c>
      <x:c r="C6" s="21" t="n">
        <x:v>2026</x:v>
      </x:c>
      <x:c r="D6" s="21" t="str">
        <x:v>Agentic artificial intelligence of things (AIoT) for just-in-time (JIT) logistics and supply chain: a case of modular construction</x:v>
      </x:c>
      <x:c r="E6" s="21" t="str">
        <x:v>openalex</x:v>
      </x:c>
      <x:c r="F6" s="21" t="str">
        <x:v>International Journal of Logistics Research and Applications</x:v>
      </x:c>
      <x:c r="G6" s="21" t="str">
        <x:v>https://openalex.org/W7133835417</x:v>
      </x:c>
      <x:c r="H6" s="21" t="str">
        <x:v>Planning, sourcing, and network design</x:v>
      </x:c>
      <x:c r="I6" s="21" t="str">
        <x:v>Supply chain planning</x:v>
      </x:c>
      <x:c r="J6" s="21" t="str">
        <x:v>RL-centered multi-agent system</x:v>
      </x:c>
      <x:c r="K6" s="21" t="str">
        <x:v>Decentralized</x:v>
      </x:c>
      <x:c r="L6" s="21" t="str">
        <x:v>L6 — Full operational autonomy</x:v>
      </x:c>
      <x:c r="M6" s="21" t="str">
        <x:v>EM5 — Operational deployment</x:v>
      </x:c>
      <x:c r="N6" s="23" t="n">
        <x:v>95.83333333333334</x:v>
      </x:c>
      <x:c r="O6" s="21" t="str">
        <x:v>High</x:v>
      </x:c>
    </x:row>
    <x:row r="7" ht="26.399999618530273" hidden="0" customHeight="1">
      <x:c r="A7" s="10" t="str">
        <x:v>S06</x:v>
      </x:c>
      <x:c r="B7" s="10" t="n">
        <x:v>185</x:v>
      </x:c>
      <x:c r="C7" s="10" t="n">
        <x:v>2026</x:v>
      </x:c>
      <x:c r="D7" s="10" t="str">
        <x:v>Drivers and constraints of agentic AI in supply chain management: an exploratory study</x:v>
      </x:c>
      <x:c r="E7" s="10" t="str">
        <x:v>openalex</x:v>
      </x:c>
      <x:c r="F7" s="10" t="str">
        <x:v>International Journal of Production Research</x:v>
      </x:c>
      <x:c r="G7" s="10" t="str">
        <x:v>https://openalex.org/W7161700378</x:v>
      </x:c>
      <x:c r="H7" s="10" t="str">
        <x:v>Planning, sourcing, and network design</x:v>
      </x:c>
      <x:c r="I7" s="10" t="str">
        <x:v>Supply chain planning</x:v>
      </x:c>
      <x:c r="J7" s="10" t="str">
        <x:v>LLM-centered agent system</x:v>
      </x:c>
      <x:c r="K7" s="10" t="str">
        <x:v>Conceptual or process-centric</x:v>
      </x:c>
      <x:c r="L7" s="10" t="str">
        <x:v>L4 — Supervised execution</x:v>
      </x:c>
      <x:c r="M7" s="10" t="str">
        <x:v>EM4 — Real-world pilot or case study</x:v>
      </x:c>
      <x:c r="N7" s="17" t="n">
        <x:v>86.36363636363636</x:v>
      </x:c>
      <x:c r="O7" s="10" t="str">
        <x:v>High</x:v>
      </x:c>
    </x:row>
    <x:row r="8" ht="26.399999618530273" hidden="0" customHeight="1">
      <x:c r="A8" s="21" t="str">
        <x:v>S07</x:v>
      </x:c>
      <x:c r="B8" s="21" t="n">
        <x:v>217</x:v>
      </x:c>
      <x:c r="C8" s="21" t="n">
        <x:v>2026</x:v>
      </x:c>
      <x:c r="D8" s="21" t="str">
        <x:v>“Cognitive Sandwich” architecture for LLM agents in logistics</x:v>
      </x:c>
      <x:c r="E8" s="21" t="str">
        <x:v>openalex</x:v>
      </x:c>
      <x:c r="F8" s="21" t="str">
        <x:v>Digitalen Hochschulbibliothek Sachsen-Anhalt (Universitäts- und Landesbibliothek Sachsen-Anhalt)</x:v>
      </x:c>
      <x:c r="G8" s="21" t="str">
        <x:v>https://openalex.org/W7165113993</x:v>
      </x:c>
      <x:c r="H8" s="21" t="str">
        <x:v>Transportation and distribution</x:v>
      </x:c>
      <x:c r="I8" s="21" t="str">
        <x:v>Routing</x:v>
      </x:c>
      <x:c r="J8" s="21" t="str">
        <x:v>Hybrid LLM and symbolic or analytical system</x:v>
      </x:c>
      <x:c r="K8" s="21" t="str">
        <x:v>Hierarchical or orchestrated</x:v>
      </x:c>
      <x:c r="L8" s="21" t="str">
        <x:v>L5 — Conditional autonomy</x:v>
      </x:c>
      <x:c r="M8" s="21" t="str">
        <x:v>EM2 — Experimental (simulation / benchmark / synthetic data)</x:v>
      </x:c>
      <x:c r="N8" s="23" t="n">
        <x:v>95.83333333333334</x:v>
      </x:c>
      <x:c r="O8" s="21" t="str">
        <x:v>High</x:v>
      </x:c>
    </x:row>
    <x:row r="9" ht="26.399999618530273" hidden="0" customHeight="1">
      <x:c r="A9" s="10" t="str">
        <x:v>S08</x:v>
      </x:c>
      <x:c r="B9" s="10" t="n">
        <x:v>235</x:v>
      </x:c>
      <x:c r="C9" s="10" t="n">
        <x:v>2026</x:v>
      </x:c>
      <x:c r="D9" s="10" t="str">
        <x:v>Operational Resilience Under Carbon Constraints: A Socio-Technical Multi-Agentic Approach to Global Supply Chains</x:v>
      </x:c>
      <x:c r="E9" s="10" t="str">
        <x:v>openalex</x:v>
      </x:c>
      <x:c r="F9" s="10" t="str">
        <x:v>Systems</x:v>
      </x:c>
      <x:c r="G9" s="10" t="str">
        <x:v>https://openalex.org/W7147895552</x:v>
      </x:c>
      <x:c r="H9" s="10" t="str">
        <x:v>Planning, sourcing, and network design</x:v>
      </x:c>
      <x:c r="I9" s="10" t="str">
        <x:v>Supply chain planning</x:v>
      </x:c>
      <x:c r="J9" s="10" t="str">
        <x:v>Hybrid LLM and symbolic or analytical system</x:v>
      </x:c>
      <x:c r="K9" s="10" t="str">
        <x:v>Hierarchical or orchestrated</x:v>
      </x:c>
      <x:c r="L9" s="10" t="str">
        <x:v>L3 — Decision support</x:v>
      </x:c>
      <x:c r="M9" s="10" t="str">
        <x:v>EM3 — Real or historical data</x:v>
      </x:c>
      <x:c r="N9" s="17" t="n">
        <x:v>95.83333333333334</x:v>
      </x:c>
      <x:c r="O9" s="10" t="str">
        <x:v>High</x:v>
      </x:c>
    </x:row>
    <x:row r="10" ht="26.399999618530273" hidden="0" customHeight="1">
      <x:c r="A10" s="21" t="str">
        <x:v>S09</x:v>
      </x:c>
      <x:c r="B10" s="21" t="n">
        <x:v>236</x:v>
      </x:c>
      <x:c r="C10" s="21" t="n">
        <x:v>2026</x:v>
      </x:c>
      <x:c r="D10" s="21" t="str">
        <x:v>Automatic Risk-Conscious Hyperconnected Logistics Location Selection via LLM-Based Multi-Agent Systems</x:v>
      </x:c>
      <x:c r="E10" s="21" t="str">
        <x:v>openalex</x:v>
      </x:c>
      <x:c r="F10" s="21" t="str">
        <x:v>Open MIND</x:v>
      </x:c>
      <x:c r="G10" s="21" t="str">
        <x:v>https://openalex.org/W7168649530</x:v>
      </x:c>
      <x:c r="H10" s="21" t="str">
        <x:v>Planning, sourcing, and network design</x:v>
      </x:c>
      <x:c r="I10" s="21" t="str">
        <x:v>Location selection</x:v>
      </x:c>
      <x:c r="J10" s="21" t="str">
        <x:v>LLM-centered agent system</x:v>
      </x:c>
      <x:c r="K10" s="21" t="str">
        <x:v>Hierarchical or orchestrated</x:v>
      </x:c>
      <x:c r="L10" s="21" t="str">
        <x:v>L3 — Decision support</x:v>
      </x:c>
      <x:c r="M10" s="21" t="str">
        <x:v>EM3 — Real or historical data</x:v>
      </x:c>
      <x:c r="N10" s="23" t="n">
        <x:v>62.5</x:v>
      </x:c>
      <x:c r="O10" s="21" t="str">
        <x:v>Moderate</x:v>
      </x:c>
    </x:row>
    <x:row r="11" ht="26.399999618530273" hidden="0" customHeight="1">
      <x:c r="A11" s="10" t="str">
        <x:v>S10</x:v>
      </x:c>
      <x:c r="B11" s="10" t="n">
        <x:v>299</x:v>
      </x:c>
      <x:c r="C11" s="10" t="n">
        <x:v>2026</x:v>
      </x:c>
      <x:c r="D11" s="10" t="str">
        <x:v>Agentic AI for Demand Forecasting and Planning: Autonomous Market Sensing and Adaptive Planning</x:v>
      </x:c>
      <x:c r="E11" s="10" t="str">
        <x:v>openalex</x:v>
      </x:c>
      <x:c r="F11" s="10" t="str"/>
      <x:c r="G11" s="10" t="str">
        <x:v>https://openalex.org/W7155182214</x:v>
      </x:c>
      <x:c r="H11" s="10" t="str">
        <x:v>Planning, sourcing, and network design</x:v>
      </x:c>
      <x:c r="I11" s="10" t="str">
        <x:v>Supply chain planning</x:v>
      </x:c>
      <x:c r="J11" s="10" t="str">
        <x:v>Hybrid LLM and symbolic or analytical system</x:v>
      </x:c>
      <x:c r="K11" s="10" t="str">
        <x:v>Hierarchical or orchestrated</x:v>
      </x:c>
      <x:c r="L11" s="10" t="str">
        <x:v>L4 — Supervised execution</x:v>
      </x:c>
      <x:c r="M11" s="10" t="str">
        <x:v>EM2 — Experimental (simulation / benchmark / synthetic data)</x:v>
      </x:c>
      <x:c r="N11" s="17" t="n">
        <x:v>58.333333333333336</x:v>
      </x:c>
      <x:c r="O11" s="10" t="str">
        <x:v>Moderate</x:v>
      </x:c>
    </x:row>
    <x:row r="12" ht="26.399999618530273" hidden="0" customHeight="1">
      <x:c r="A12" s="21" t="str">
        <x:v>S11</x:v>
      </x:c>
      <x:c r="B12" s="21" t="n">
        <x:v>342</x:v>
      </x:c>
      <x:c r="C12" s="21" t="n">
        <x:v>2026</x:v>
      </x:c>
      <x:c r="D12" s="21" t="str">
        <x:v>Multi-agent deep reinforcement learning for ordering and inventory allocation in a decentralized two-echelon dual-channel supply chain</x:v>
      </x:c>
      <x:c r="E12" s="21" t="str">
        <x:v>scopus</x:v>
      </x:c>
      <x:c r="F12" s="21" t="str">
        <x:v>International Journal of Production Economics</x:v>
      </x:c>
      <x:c r="G12" s="21" t="str">
        <x:v>https://www.scopus.com/inward/record.uri?partnerID=HzOxMe3b&amp;scp=105038448250&amp;origin=inward</x:v>
      </x:c>
      <x:c r="H12" s="21" t="str">
        <x:v>Inventory and internal logistics</x:v>
      </x:c>
      <x:c r="I12" s="21" t="str">
        <x:v>Inventory management</x:v>
      </x:c>
      <x:c r="J12" s="21" t="str">
        <x:v>RL-centered multi-agent system</x:v>
      </x:c>
      <x:c r="K12" s="21" t="str">
        <x:v>Decentralized</x:v>
      </x:c>
      <x:c r="L12" s="21" t="str">
        <x:v>L5 — Conditional autonomy</x:v>
      </x:c>
      <x:c r="M12" s="21" t="str">
        <x:v>EM4 — Real-world data with simulation or benchmarking</x:v>
      </x:c>
      <x:c r="N12" s="23" t="n">
        <x:v>95.83333333333334</x:v>
      </x:c>
      <x:c r="O12" s="21" t="str">
        <x:v>High</x:v>
      </x:c>
    </x:row>
    <x:row r="13" ht="26.399999618530273" hidden="0" customHeight="1">
      <x:c r="A13" s="10" t="str">
        <x:v>S12</x:v>
      </x:c>
      <x:c r="B13" s="10" t="n">
        <x:v>353</x:v>
      </x:c>
      <x:c r="C13" s="10" t="n">
        <x:v>2026</x:v>
      </x:c>
      <x:c r="D13" s="10" t="str">
        <x:v>Structuring the Last Mile with ReActV: Tool-Augmented Delivery Planning with Verification</x:v>
      </x:c>
      <x:c r="E13" s="10" t="str">
        <x:v>acm_dl</x:v>
      </x:c>
      <x:c r="F13" s="10" t="str">
        <x:v>Companion Publication of the 2026 18th ACM Web Science Conference</x:v>
      </x:c>
      <x:c r="G13" s="10" t="str">
        <x:v>https://doi.org/10.1145/3795513.3810458</x:v>
      </x:c>
      <x:c r="H13" s="10" t="str">
        <x:v>Transportation and distribution</x:v>
      </x:c>
      <x:c r="I13" s="10" t="str">
        <x:v>Last-mile delivery</x:v>
      </x:c>
      <x:c r="J13" s="10" t="str">
        <x:v>LLM-centered agent system</x:v>
      </x:c>
      <x:c r="K13" s="10" t="str">
        <x:v>Hierarchical or orchestrated</x:v>
      </x:c>
      <x:c r="L13" s="10" t="str">
        <x:v>L3 — Decision support</x:v>
      </x:c>
      <x:c r="M13" s="10" t="str">
        <x:v>EM4 — Real-world data with simulation or benchmarking</x:v>
      </x:c>
      <x:c r="N13" s="17" t="n">
        <x:v>95.83333333333334</x:v>
      </x:c>
      <x:c r="O13" s="10" t="str">
        <x:v>High</x:v>
      </x:c>
    </x:row>
    <x:row r="14" ht="26.399999618530273" hidden="0" customHeight="1">
      <x:c r="A14" s="21" t="str">
        <x:v>S13</x:v>
      </x:c>
      <x:c r="B14" s="21" t="n">
        <x:v>357</x:v>
      </x:c>
      <x:c r="C14" s="21" t="n">
        <x:v>2026</x:v>
      </x:c>
      <x:c r="D14" s="21" t="str">
        <x:v>LogiFusion: a semantic-kinetic-dynamic expert system for closed-loop intralogistics decision intelligence</x:v>
      </x:c>
      <x:c r="E14" s="21" t="str">
        <x:v>sciencedirect</x:v>
      </x:c>
      <x:c r="F14" s="21" t="str">
        <x:v>Expert Systems with Applications</x:v>
      </x:c>
      <x:c r="G14" s="21" t="str">
        <x:v>https://www.sciencedirect.com/science/article/pii/S0957417426000618</x:v>
      </x:c>
      <x:c r="H14" s="21" t="str">
        <x:v>Inventory and internal logistics</x:v>
      </x:c>
      <x:c r="I14" s="21" t="str">
        <x:v>Intralogistics</x:v>
      </x:c>
      <x:c r="J14" s="21" t="str">
        <x:v>Hybrid LLM and symbolic or analytical system</x:v>
      </x:c>
      <x:c r="K14" s="21" t="str">
        <x:v>Hierarchical or orchestrated</x:v>
      </x:c>
      <x:c r="L14" s="21" t="str">
        <x:v>L4 — Supervised execution</x:v>
      </x:c>
      <x:c r="M14" s="21" t="str">
        <x:v>EM2 — Experimental (simulation / benchmark / synthetic data)</x:v>
      </x:c>
      <x:c r="N14" s="23" t="n">
        <x:v>95.83333333333334</x:v>
      </x:c>
      <x:c r="O14" s="21" t="str">
        <x:v>High</x:v>
      </x:c>
    </x:row>
    <x:row r="15" ht="26.399999618530273" hidden="0" customHeight="1">
      <x:c r="A15" s="10" t="str">
        <x:v>S14</x:v>
      </x:c>
      <x:c r="B15" s="10" t="n">
        <x:v>358</x:v>
      </x:c>
      <x:c r="C15" s="10" t="n">
        <x:v>2026</x:v>
      </x:c>
      <x:c r="D15" s="10" t="str">
        <x:v>Towards an Agentic AI-Enabled Blockchain-Based Fish Supply Chain Using Hyperledger Fabric</x:v>
      </x:c>
      <x:c r="E15" s="10" t="str">
        <x:v>scopus</x:v>
      </x:c>
      <x:c r="F15" s="10" t="str">
        <x:v>Electronics Switzerland</x:v>
      </x:c>
      <x:c r="G15" s="10" t="str">
        <x:v>https://www.scopus.com/inward/record.uri?partnerID=HzOxMe3b&amp;scp=105038580626&amp;origin=inward</x:v>
      </x:c>
      <x:c r="H15" s="10" t="str">
        <x:v>Operational assurance and asset support</x:v>
      </x:c>
      <x:c r="I15" s="10" t="str">
        <x:v>Traceability</x:v>
      </x:c>
      <x:c r="J15" s="10" t="str">
        <x:v>Reactive or condition-triggered agent system</x:v>
      </x:c>
      <x:c r="K15" s="10" t="str">
        <x:v>Hybrid distributed and governed</x:v>
      </x:c>
      <x:c r="L15" s="10" t="str">
        <x:v>L5 — Conditional autonomy</x:v>
      </x:c>
      <x:c r="M15" s="10" t="str">
        <x:v>EM1 — Illustrative prototype / proof of concept</x:v>
      </x:c>
      <x:c r="N15" s="17" t="n">
        <x:v>54.166666666666664</x:v>
      </x:c>
      <x:c r="O15" s="10" t="str">
        <x:v>Moderate</x:v>
      </x:c>
    </x:row>
    <x:row r="16" ht="26.399999618530273" hidden="0" customHeight="1">
      <x:c r="A16" s="21" t="str">
        <x:v>S15</x:v>
      </x:c>
      <x:c r="B16" s="21" t="n">
        <x:v>369</x:v>
      </x:c>
      <x:c r="C16" s="21" t="n">
        <x:v>2026</x:v>
      </x:c>
      <x:c r="D16" s="21" t="str">
        <x:v>SCSimulator: An Exploratory Visual Analytics Framework for Partner Selection in Supply Chains through LLM-driven Multi-Agent Simulation</x:v>
      </x:c>
      <x:c r="E16" s="21" t="str">
        <x:v>acm_dl</x:v>
      </x:c>
      <x:c r="F16" s="21" t="str">
        <x:v>Proceedings of the 31st International Conference on Intelligent User Interfaces</x:v>
      </x:c>
      <x:c r="G16" s="21" t="str">
        <x:v>https://doi.org/10.1145/3742413.3789061</x:v>
      </x:c>
      <x:c r="H16" s="21" t="str">
        <x:v>Planning, sourcing, and network design</x:v>
      </x:c>
      <x:c r="I16" s="21" t="str">
        <x:v>Partner selection</x:v>
      </x:c>
      <x:c r="J16" s="21" t="str">
        <x:v>LLM-centered agent system</x:v>
      </x:c>
      <x:c r="K16" s="21" t="str">
        <x:v>Decentralized</x:v>
      </x:c>
      <x:c r="L16" s="21" t="str">
        <x:v>L3 — Decision support</x:v>
      </x:c>
      <x:c r="M16" s="21" t="str">
        <x:v>EM4 — Real-world data with simulation or benchmarking</x:v>
      </x:c>
      <x:c r="N16" s="23" t="n">
        <x:v>83.33333333333334</x:v>
      </x:c>
      <x:c r="O16" s="21" t="str">
        <x:v>High</x:v>
      </x:c>
    </x:row>
    <x:row r="17" ht="26.399999618530273" hidden="0" customHeight="1">
      <x:c r="A17" s="10" t="str">
        <x:v>S16</x:v>
      </x:c>
      <x:c r="B17" s="10" t="n">
        <x:v>392</x:v>
      </x:c>
      <x:c r="C17" s="10" t="n">
        <x:v>2026</x:v>
      </x:c>
      <x:c r="D17" s="10" t="str">
        <x:v>Leveraging large language models to enhance multi-agent risk assessment in supply chain networks</x:v>
      </x:c>
      <x:c r="E17" s="10" t="str">
        <x:v>web_of_science</x:v>
      </x:c>
      <x:c r="F17" s="10" t="str">
        <x:v>INTERNATIONAL JOURNAL OF PRODUCTION RESEARCH</x:v>
      </x:c>
      <x:c r="G17" s="10" t="str">
        <x:v>https://doi.org/10.1080/00207543.2026.2619562</x:v>
      </x:c>
      <x:c r="H17" s="10" t="str">
        <x:v>Planning, sourcing, and network design</x:v>
      </x:c>
      <x:c r="I17" s="10" t="str">
        <x:v>Location selection</x:v>
      </x:c>
      <x:c r="J17" s="10" t="str">
        <x:v>LLM-centered agent system</x:v>
      </x:c>
      <x:c r="K17" s="10" t="str">
        <x:v>Hierarchical or orchestrated</x:v>
      </x:c>
      <x:c r="L17" s="10" t="str">
        <x:v>L3 — Decision support</x:v>
      </x:c>
      <x:c r="M17" s="10" t="str">
        <x:v>EM3 — Real or historical data</x:v>
      </x:c>
      <x:c r="N17" s="17" t="n">
        <x:v>95.83333333333334</x:v>
      </x:c>
      <x:c r="O17" s="10" t="str">
        <x:v>High</x:v>
      </x:c>
    </x:row>
    <x:row r="18" ht="26.399999618530273" hidden="0" customHeight="1">
      <x:c r="A18" s="21" t="str">
        <x:v>S17</x:v>
      </x:c>
      <x:c r="B18" s="21" t="n">
        <x:v>881</x:v>
      </x:c>
      <x:c r="C18" s="21" t="n">
        <x:v>2026</x:v>
      </x:c>
      <x:c r="D18" s="21" t="str">
        <x:v>An LLM-empowered collaborative multi-agent framework for intermittent demand forecasting of large-scale spare parts in smart manufacturing</x:v>
      </x:c>
      <x:c r="E18" s="21" t="str">
        <x:v>sciencedirect</x:v>
      </x:c>
      <x:c r="F18" s="21" t="str">
        <x:v>Knowledge-Based Systems</x:v>
      </x:c>
      <x:c r="G18" s="21" t="str">
        <x:v>https://www.sciencedirect.com/science/article/pii/S0950705126010609</x:v>
      </x:c>
      <x:c r="H18" s="21" t="str">
        <x:v>Planning, sourcing, and network design</x:v>
      </x:c>
      <x:c r="I18" s="21" t="str">
        <x:v>Demand forecasting</x:v>
      </x:c>
      <x:c r="J18" s="21" t="str">
        <x:v>LLM-centered agent system</x:v>
      </x:c>
      <x:c r="K18" s="21" t="str">
        <x:v>Hierarchical or orchestrated</x:v>
      </x:c>
      <x:c r="L18" s="21" t="str">
        <x:v>L3 — Decision support</x:v>
      </x:c>
      <x:c r="M18" s="21" t="str">
        <x:v>EM3 — Real or historical data</x:v>
      </x:c>
      <x:c r="N18" s="23" t="n">
        <x:v>95.83333333333334</x:v>
      </x:c>
      <x:c r="O18" s="21" t="str">
        <x:v>High</x:v>
      </x:c>
    </x:row>
    <x:row r="19" ht="26.399999618530273" hidden="0" customHeight="1">
      <x:c r="A19" s="10" t="str">
        <x:v>S18</x:v>
      </x:c>
      <x:c r="B19" s="10" t="n">
        <x:v>889</x:v>
      </x:c>
      <x:c r="C19" s="10" t="n">
        <x:v>2026</x:v>
      </x:c>
      <x:c r="D19" s="10" t="str">
        <x:v>From text to slot: a multi-agent framework for terminal-oriented container stowage planning via large language models</x:v>
      </x:c>
      <x:c r="E19" s="10" t="str">
        <x:v>sciencedirect</x:v>
      </x:c>
      <x:c r="F19" s="10" t="str">
        <x:v>Artificial Intelligence for Transportation</x:v>
      </x:c>
      <x:c r="G19" s="10" t="str">
        <x:v>https://www.sciencedirect.com/science/article/pii/S3050860626000177</x:v>
      </x:c>
      <x:c r="H19" s="10" t="str">
        <x:v>Transportation and distribution</x:v>
      </x:c>
      <x:c r="I19" s="10" t="str">
        <x:v>Stowage planning</x:v>
      </x:c>
      <x:c r="J19" s="10" t="str">
        <x:v>LLM-centered agent system</x:v>
      </x:c>
      <x:c r="K19" s="10" t="str">
        <x:v>Hierarchical or orchestrated</x:v>
      </x:c>
      <x:c r="L19" s="10" t="str">
        <x:v>L5 — Conditional autonomy</x:v>
      </x:c>
      <x:c r="M19" s="10" t="str">
        <x:v>EM4 — Real-world data with simulation or benchmarking</x:v>
      </x:c>
      <x:c r="N19" s="17" t="n">
        <x:v>95.83333333333334</x:v>
      </x:c>
      <x:c r="O19" s="10" t="str">
        <x:v>High</x:v>
      </x:c>
    </x:row>
    <x:row r="20" ht="26.399999618530273" hidden="0" customHeight="1">
      <x:c r="A20" s="21" t="str">
        <x:v>S19</x:v>
      </x:c>
      <x:c r="B20" s="21" t="n">
        <x:v>8</x:v>
      </x:c>
      <x:c r="C20" s="21" t="n">
        <x:v>2025</x:v>
      </x:c>
      <x:c r="D20" s="21" t="str">
        <x:v>A Blockchain-Monitored Agentic AI Architecture for Trusted Perception–Reasoning–Action Pipelines</x:v>
      </x:c>
      <x:c r="E20" s="21" t="str">
        <x:v>ieee_xplore</x:v>
      </x:c>
      <x:c r="F20" s="21" t="str">
        <x:v>2025 International Conference on Computer and Applications (ICCA)</x:v>
      </x:c>
      <x:c r="G20" s="21" t="str">
        <x:v>https://ieeexplore.ieee.org/document/11430865/</x:v>
      </x:c>
      <x:c r="H20" s="21" t="str">
        <x:v>Inventory and internal logistics</x:v>
      </x:c>
      <x:c r="I20" s="21" t="str">
        <x:v>Inventory management</x:v>
      </x:c>
      <x:c r="J20" s="21" t="str">
        <x:v>LLM-centered agent system</x:v>
      </x:c>
      <x:c r="K20" s="21" t="str">
        <x:v>Hierarchical or orchestrated</x:v>
      </x:c>
      <x:c r="L20" s="21" t="str">
        <x:v>L5 — Conditional autonomy</x:v>
      </x:c>
      <x:c r="M20" s="21" t="str">
        <x:v>EM2 — Experimental (simulation / benchmark / synthetic data)</x:v>
      </x:c>
      <x:c r="N20" s="23" t="n">
        <x:v>91.66666666666666</x:v>
      </x:c>
      <x:c r="O20" s="21" t="str">
        <x:v>High</x:v>
      </x:c>
    </x:row>
    <x:row r="21" ht="26.399999618530273" hidden="0" customHeight="1">
      <x:c r="A21" s="10" t="str">
        <x:v>S20</x:v>
      </x:c>
      <x:c r="B21" s="10" t="n">
        <x:v>11</x:v>
      </x:c>
      <x:c r="C21" s="10" t="n">
        <x:v>2025</x:v>
      </x:c>
      <x:c r="D21" s="10" t="str">
        <x:v>Decentralized pricing in supply chain management: a blockchain-enabled multi-agent Reinforcement Learning approach</x:v>
      </x:c>
      <x:c r="E21" s="10" t="str">
        <x:v>ieee_xplore</x:v>
      </x:c>
      <x:c r="F21" s="10" t="str">
        <x:v>2025 11th International Conference on Control, Decision and Information Technologies (CoDIT)</x:v>
      </x:c>
      <x:c r="G21" s="10" t="str">
        <x:v>https://ieeexplore.ieee.org/document/11321740/</x:v>
      </x:c>
      <x:c r="H21" s="10" t="str">
        <x:v>Planning, sourcing, and network design</x:v>
      </x:c>
      <x:c r="I21" s="10" t="str">
        <x:v>Supply chain planning</x:v>
      </x:c>
      <x:c r="J21" s="10" t="str">
        <x:v>RL-centered multi-agent system</x:v>
      </x:c>
      <x:c r="K21" s="10" t="str">
        <x:v>Decentralized</x:v>
      </x:c>
      <x:c r="L21" s="10" t="str">
        <x:v>L5 — Conditional autonomy</x:v>
      </x:c>
      <x:c r="M21" s="10" t="str">
        <x:v>EM2 — Experimental (simulation / benchmark / synthetic data)</x:v>
      </x:c>
      <x:c r="N21" s="17" t="n">
        <x:v>66.66666666666666</x:v>
      </x:c>
      <x:c r="O21" s="10" t="str">
        <x:v>Moderate</x:v>
      </x:c>
    </x:row>
    <x:row r="22" ht="26.399999618530273" hidden="0" customHeight="1">
      <x:c r="A22" s="21" t="str">
        <x:v>S21</x:v>
      </x:c>
      <x:c r="B22" s="21" t="n">
        <x:v>113</x:v>
      </x:c>
      <x:c r="C22" s="21" t="n">
        <x:v>2025</x:v>
      </x:c>
      <x:c r="D22" s="21" t="str">
        <x:v>A Retrieval-Augmented Generation (RAG)-Based LLM for Modern Warehouse Automation and Management</x:v>
      </x:c>
      <x:c r="E22" s="21" t="str">
        <x:v>ieee_xplore</x:v>
      </x:c>
      <x:c r="F22" s="21" t="str">
        <x:v>2025 IEEE 21st International Conference on Automation Science and Engineering (CASE)</x:v>
      </x:c>
      <x:c r="G22" s="21" t="str">
        <x:v>https://ieeexplore.ieee.org/document/11164106/</x:v>
      </x:c>
      <x:c r="H22" s="21" t="str">
        <x:v>Inventory and internal logistics</x:v>
      </x:c>
      <x:c r="I22" s="21" t="str">
        <x:v>Warehousing</x:v>
      </x:c>
      <x:c r="J22" s="21" t="str">
        <x:v>LLM-centered agent system</x:v>
      </x:c>
      <x:c r="K22" s="21" t="str">
        <x:v>Centralized</x:v>
      </x:c>
      <x:c r="L22" s="21" t="str">
        <x:v>L5 — Conditional autonomy</x:v>
      </x:c>
      <x:c r="M22" s="21" t="str">
        <x:v>EM2 — Experimental (simulation / benchmark / synthetic data)</x:v>
      </x:c>
      <x:c r="N22" s="23" t="n">
        <x:v>70.83333333333334</x:v>
      </x:c>
      <x:c r="O22" s="21" t="str">
        <x:v>High</x:v>
      </x:c>
    </x:row>
    <x:row r="23" ht="26.399999618530273" hidden="0" customHeight="1">
      <x:c r="A23" s="10" t="str">
        <x:v>S22</x:v>
      </x:c>
      <x:c r="B23" s="10" t="n">
        <x:v>188</x:v>
      </x:c>
      <x:c r="C23" s="10" t="n">
        <x:v>2025</x:v>
      </x:c>
      <x:c r="D23" s="10" t="str">
        <x:v>Leveraging Multi-agent System Powered by Large Language Model to Improve Transparency and Reliability in Automated Supply Chain Coordination</x:v>
      </x:c>
      <x:c r="E23" s="10" t="str">
        <x:v>openalex</x:v>
      </x:c>
      <x:c r="F23" s="10" t="str">
        <x:v>Annual Conference of the International Group for Lean Construction</x:v>
      </x:c>
      <x:c r="G23" s="10" t="str">
        <x:v>https://openalex.org/W4414549039</x:v>
      </x:c>
      <x:c r="H23" s="10" t="str">
        <x:v>Planning, sourcing, and network design</x:v>
      </x:c>
      <x:c r="I23" s="10" t="str">
        <x:v>Supply chain planning</x:v>
      </x:c>
      <x:c r="J23" s="10" t="str">
        <x:v>LLM-centered agent system</x:v>
      </x:c>
      <x:c r="K23" s="10" t="str">
        <x:v>Hierarchical or orchestrated</x:v>
      </x:c>
      <x:c r="L23" s="10" t="str">
        <x:v>L5 — Conditional autonomy</x:v>
      </x:c>
      <x:c r="M23" s="10" t="str">
        <x:v>EM1 — Illustrative prototype / proof of concept</x:v>
      </x:c>
      <x:c r="N23" s="17" t="n">
        <x:v>66.66666666666666</x:v>
      </x:c>
      <x:c r="O23" s="10" t="str">
        <x:v>Moderate</x:v>
      </x:c>
    </x:row>
    <x:row r="24" ht="26.399999618530273" hidden="0" customHeight="1">
      <x:c r="A24" s="21" t="str">
        <x:v>S23</x:v>
      </x:c>
      <x:c r="B24" s="21" t="n">
        <x:v>254</x:v>
      </x:c>
      <x:c r="C24" s="21" t="n">
        <x:v>2025</x:v>
      </x:c>
      <x:c r="D24" s="21" t="str">
        <x:v>AISA–L: An Agentic AI Strategy Architecture for Real-Time KPI Orchestration in Sustainable, Resilient Airline Logistics</x:v>
      </x:c>
      <x:c r="E24" s="21" t="str">
        <x:v>openalex</x:v>
      </x:c>
      <x:c r="F24" s="21" t="str">
        <x:v>Zenodo (CERN European Organization for Nuclear Research)</x:v>
      </x:c>
      <x:c r="G24" s="21" t="str">
        <x:v>https://openalex.org/W7118733767</x:v>
      </x:c>
      <x:c r="H24" s="21" t="str">
        <x:v>Planning, sourcing, and network design</x:v>
      </x:c>
      <x:c r="I24" s="21" t="str">
        <x:v>Supply chain planning</x:v>
      </x:c>
      <x:c r="J24" s="21" t="str">
        <x:v>Mixed intelligent-agent system</x:v>
      </x:c>
      <x:c r="K24" s="21" t="str">
        <x:v>Hierarchical or orchestrated</x:v>
      </x:c>
      <x:c r="L24" s="21" t="str">
        <x:v>L5 — Conditional autonomy</x:v>
      </x:c>
      <x:c r="M24" s="21" t="str">
        <x:v>EM2 — Experimental (simulation / benchmark / synthetic data)</x:v>
      </x:c>
      <x:c r="N24" s="23" t="n">
        <x:v>62.5</x:v>
      </x:c>
      <x:c r="O24" s="21" t="str">
        <x:v>Moderate</x:v>
      </x:c>
    </x:row>
    <x:row r="25" ht="26.399999618530273" hidden="0" customHeight="1">
      <x:c r="A25" s="10" t="str">
        <x:v>S24</x:v>
      </x:c>
      <x:c r="B25" s="10" t="n">
        <x:v>275</x:v>
      </x:c>
      <x:c r="C25" s="10" t="n">
        <x:v>2025</x:v>
      </x:c>
      <x:c r="D25" s="10" t="str">
        <x:v>Towards the Autonomous Optimization of Urban Logistics: Training Generative AI with Scientific Tools via Agentic Digital Twins and Model Context Protocol</x:v>
      </x:c>
      <x:c r="E25" s="10" t="str">
        <x:v>openalex</x:v>
      </x:c>
      <x:c r="F25" s="10" t="str">
        <x:v>arXiv (Cornell University)</x:v>
      </x:c>
      <x:c r="G25" s="10" t="str">
        <x:v>https://openalex.org/W4415070725</x:v>
      </x:c>
      <x:c r="H25" s="10" t="str">
        <x:v>Transportation and distribution</x:v>
      </x:c>
      <x:c r="I25" s="10" t="str">
        <x:v>Routing</x:v>
      </x:c>
      <x:c r="J25" s="10" t="str">
        <x:v>LLM-centered agent system</x:v>
      </x:c>
      <x:c r="K25" s="10" t="str">
        <x:v>Centralized</x:v>
      </x:c>
      <x:c r="L25" s="10" t="str">
        <x:v>L6 — Full operational autonomy</x:v>
      </x:c>
      <x:c r="M25" s="10" t="str">
        <x:v>EM2 — Experimental (simulation / benchmark / synthetic data)</x:v>
      </x:c>
      <x:c r="N25" s="17" t="n">
        <x:v>87.5</x:v>
      </x:c>
      <x:c r="O25" s="10" t="str">
        <x:v>High</x:v>
      </x:c>
    </x:row>
    <x:row r="26" ht="26.399999618530273" hidden="0" customHeight="1">
      <x:c r="A26" s="21" t="str">
        <x:v>S25</x:v>
      </x:c>
      <x:c r="B26" s="21" t="n">
        <x:v>277</x:v>
      </x:c>
      <x:c r="C26" s="21" t="n">
        <x:v>2025</x:v>
      </x:c>
      <x:c r="D26" s="21" t="str">
        <x:v>AI Strategy Agent for Airline Logistics: A Multi-Layered, KPI-Governed Architecture for Real-Time Optimization and Ethical Orchestration</x:v>
      </x:c>
      <x:c r="E26" s="21" t="str">
        <x:v>openalex</x:v>
      </x:c>
      <x:c r="F26" s="21" t="str">
        <x:v>Zenodo (CERN European Organization for Nuclear Research)</x:v>
      </x:c>
      <x:c r="G26" s="21" t="str">
        <x:v>https://openalex.org/W7119491354</x:v>
      </x:c>
      <x:c r="H26" s="21" t="str">
        <x:v>Planning, sourcing, and network design</x:v>
      </x:c>
      <x:c r="I26" s="21" t="str">
        <x:v>Supply chain planning</x:v>
      </x:c>
      <x:c r="J26" s="21" t="str">
        <x:v>Mixed intelligent-agent system</x:v>
      </x:c>
      <x:c r="K26" s="21" t="str">
        <x:v>Hierarchical or orchestrated</x:v>
      </x:c>
      <x:c r="L26" s="21" t="str">
        <x:v>L5 — Conditional autonomy</x:v>
      </x:c>
      <x:c r="M26" s="21" t="str">
        <x:v>EM2 — Experimental (simulation / benchmark / synthetic data)</x:v>
      </x:c>
      <x:c r="N26" s="23" t="n">
        <x:v>95.83333333333334</x:v>
      </x:c>
      <x:c r="O26" s="21" t="str">
        <x:v>High</x:v>
      </x:c>
    </x:row>
    <x:row r="27" ht="26.399999618530273" hidden="0" customHeight="1">
      <x:c r="A27" s="10" t="str">
        <x:v>S26</x:v>
      </x:c>
      <x:c r="B27" s="10" t="n">
        <x:v>290</x:v>
      </x:c>
      <x:c r="C27" s="10" t="n">
        <x:v>2025</x:v>
      </x:c>
      <x:c r="D27" s="10" t="str">
        <x:v>Dynamic Inventory Optimization through Reinforcement Learning in Decentralized, Globally Distributed Manufacturing Supply Ecosystems</x:v>
      </x:c>
      <x:c r="E27" s="10" t="str">
        <x:v>openalex</x:v>
      </x:c>
      <x:c r="F27" s="10" t="str">
        <x:v>International Journal of Computer Applications Technology and Research</x:v>
      </x:c>
      <x:c r="G27" s="10" t="str">
        <x:v>https://openalex.org/W4409562279</x:v>
      </x:c>
      <x:c r="H27" s="10" t="str">
        <x:v>Inventory and internal logistics</x:v>
      </x:c>
      <x:c r="I27" s="10" t="str">
        <x:v>Inventory management</x:v>
      </x:c>
      <x:c r="J27" s="10" t="str">
        <x:v>RL-centered multi-agent system</x:v>
      </x:c>
      <x:c r="K27" s="10" t="str">
        <x:v>Decentralized</x:v>
      </x:c>
      <x:c r="L27" s="10" t="str">
        <x:v>L5 — Conditional autonomy</x:v>
      </x:c>
      <x:c r="M27" s="10" t="str">
        <x:v>EM2 — Experimental (simulation / benchmark / synthetic data)</x:v>
      </x:c>
      <x:c r="N27" s="17" t="n">
        <x:v>58.333333333333336</x:v>
      </x:c>
      <x:c r="O27" s="10" t="str">
        <x:v>Moderate</x:v>
      </x:c>
    </x:row>
    <x:row r="28" ht="26.399999618530273" hidden="0" customHeight="1">
      <x:c r="A28" s="21" t="str">
        <x:v>S27</x:v>
      </x:c>
      <x:c r="B28" s="21" t="n">
        <x:v>420</x:v>
      </x:c>
      <x:c r="C28" s="21" t="n">
        <x:v>2025</x:v>
      </x:c>
      <x:c r="D28" s="21" t="str">
        <x:v>Intelligent port logistics: A spatiotemporal knowledge graph and AI-agent framework for berth allocation</x:v>
      </x:c>
      <x:c r="E28" s="21" t="str">
        <x:v>sciencedirect</x:v>
      </x:c>
      <x:c r="F28" s="21" t="str">
        <x:v>Advanced Engineering Informatics</x:v>
      </x:c>
      <x:c r="G28" s="21" t="str">
        <x:v>https://www.sciencedirect.com/science/article/pii/S1474034625005269</x:v>
      </x:c>
      <x:c r="H28" s="21" t="str">
        <x:v>Transportation and distribution</x:v>
      </x:c>
      <x:c r="I28" s="21" t="str">
        <x:v>Berth allocation</x:v>
      </x:c>
      <x:c r="J28" s="21" t="str">
        <x:v>LLM-centered agent system</x:v>
      </x:c>
      <x:c r="K28" s="21" t="str">
        <x:v>Centralized</x:v>
      </x:c>
      <x:c r="L28" s="21" t="str">
        <x:v>L3 — Decision support</x:v>
      </x:c>
      <x:c r="M28" s="21" t="str">
        <x:v>EM4 — Real-world data with simulation or benchmarking</x:v>
      </x:c>
      <x:c r="N28" s="23" t="n">
        <x:v>79.16666666666666</x:v>
      </x:c>
      <x:c r="O28" s="21" t="str">
        <x:v>High</x:v>
      </x:c>
    </x:row>
    <x:row r="29" ht="26.399999618530273" hidden="0" customHeight="1">
      <x:c r="A29" s="10" t="str">
        <x:v>S28</x:v>
      </x:c>
      <x:c r="B29" s="10" t="n">
        <x:v>437</x:v>
      </x:c>
      <x:c r="C29" s="10" t="n">
        <x:v>2025</x:v>
      </x:c>
      <x:c r="D29" s="10" t="str">
        <x:v>Integrating LLMs and Classical Planning for Pallet Logistics: A Case Study</x:v>
      </x:c>
      <x:c r="E29" s="10" t="str">
        <x:v>sciencedirect</x:v>
      </x:c>
      <x:c r="F29" s="10" t="str">
        <x:v>IFAC-PapersOnLine</x:v>
      </x:c>
      <x:c r="G29" s="10" t="str">
        <x:v>https://www.sciencedirect.com/science/article/pii/S2405896325016362</x:v>
      </x:c>
      <x:c r="H29" s="10" t="str">
        <x:v>Inventory and internal logistics</x:v>
      </x:c>
      <x:c r="I29" s="10" t="str">
        <x:v>Pallet movement</x:v>
      </x:c>
      <x:c r="J29" s="10" t="str">
        <x:v>Hybrid LLM and symbolic or analytical system</x:v>
      </x:c>
      <x:c r="K29" s="10" t="str">
        <x:v>Centralized</x:v>
      </x:c>
      <x:c r="L29" s="10" t="str">
        <x:v>L5 — Conditional autonomy</x:v>
      </x:c>
      <x:c r="M29" s="10" t="str">
        <x:v>EM2 — Experimental (simulation / benchmark / synthetic data)</x:v>
      </x:c>
      <x:c r="N29" s="17" t="n">
        <x:v>79.16666666666666</x:v>
      </x:c>
      <x:c r="O29" s="10" t="str">
        <x:v>High</x:v>
      </x:c>
    </x:row>
    <x:row r="30" ht="26.399999618530273" hidden="0" customHeight="1">
      <x:c r="A30" s="21" t="str">
        <x:v>S29</x:v>
      </x:c>
      <x:c r="B30" s="21" t="n">
        <x:v>445</x:v>
      </x:c>
      <x:c r="C30" s="21" t="n">
        <x:v>2025</x:v>
      </x:c>
      <x:c r="D30" s="21" t="str">
        <x:v>Securing Smart Supply Chains with Adaptive AI Agents: A Virtual Simulation Framework</x:v>
      </x:c>
      <x:c r="E30" s="21" t="str">
        <x:v>scopus</x:v>
      </x:c>
      <x:c r="F30" s="21" t="str">
        <x:v>Proceeding 12th International Conference on Information Technology Innovation Technologies Icit 2025</x:v>
      </x:c>
      <x:c r="G30" s="21" t="str">
        <x:v>https://www.scopus.com/inward/record.uri?partnerID=HzOxMe3b&amp;scp=105011953453&amp;origin=inward</x:v>
      </x:c>
      <x:c r="H30" s="21" t="str">
        <x:v>Operational assurance and asset support</x:v>
      </x:c>
      <x:c r="I30" s="21" t="str">
        <x:v>Supply chain cybersecurity</x:v>
      </x:c>
      <x:c r="J30" s="21" t="str">
        <x:v>Mixed intelligent-agent system</x:v>
      </x:c>
      <x:c r="K30" s="21" t="str">
        <x:v>Hierarchical or orchestrated</x:v>
      </x:c>
      <x:c r="L30" s="21" t="str">
        <x:v>L5 — Conditional autonomy</x:v>
      </x:c>
      <x:c r="M30" s="21" t="str">
        <x:v>EM2 — Experimental (simulation / benchmark / synthetic data)</x:v>
      </x:c>
      <x:c r="N30" s="23" t="n">
        <x:v>75</x:v>
      </x:c>
      <x:c r="O30" s="21" t="str">
        <x:v>High</x:v>
      </x:c>
    </x:row>
    <x:row r="31" ht="26.399999618530273" hidden="0" customHeight="1">
      <x:c r="A31" s="10" t="str">
        <x:v>S30</x:v>
      </x:c>
      <x:c r="B31" s="10" t="n">
        <x:v>505</x:v>
      </x:c>
      <x:c r="C31" s="10" t="n">
        <x:v>2024</x:v>
      </x:c>
      <x:c r="D31" s="10" t="str">
        <x:v>Optimizing Inventory Management using a Multi-Agent LLM System</x:v>
      </x:c>
      <x:c r="E31" s="10" t="str">
        <x:v>scopus</x:v>
      </x:c>
      <x:c r="F31" s="10" t="str">
        <x:v>Proceedings of the International Conference on Electronic Business Iceb</x:v>
      </x:c>
      <x:c r="G31" s="10" t="str">
        <x:v>https://www.scopus.com/inward/record.uri?partnerID=HzOxMe3b&amp;scp=85213378512&amp;origin=inward</x:v>
      </x:c>
      <x:c r="H31" s="10" t="str">
        <x:v>Inventory and internal logistics</x:v>
      </x:c>
      <x:c r="I31" s="10" t="str">
        <x:v>Inventory management</x:v>
      </x:c>
      <x:c r="J31" s="10" t="str">
        <x:v>LLM-centered agent system</x:v>
      </x:c>
      <x:c r="K31" s="10" t="str">
        <x:v>Hierarchical or orchestrated</x:v>
      </x:c>
      <x:c r="L31" s="10" t="str">
        <x:v>L5 — Conditional autonomy</x:v>
      </x:c>
      <x:c r="M31" s="10" t="str">
        <x:v>EM4 — Real-world data with simulation or benchmarking</x:v>
      </x:c>
      <x:c r="N31" s="17" t="n">
        <x:v>75</x:v>
      </x:c>
      <x:c r="O31" s="10" t="str">
        <x:v>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8" hidden="0" customWidth="1"/>
    <x:col min="3" max="3" width="50" hidden="0" customWidth="1"/>
    <x:col min="4" max="4" width="46" hidden="0" customWidth="1"/>
    <x:col min="5" max="5" width="46" hidden="0" customWidth="1"/>
    <x:col min="6" max="6" width="60" hidden="0" customWidth="1"/>
    <x:col min="7" max="7" width="54" hidden="0" customWidth="1"/>
    <x:col min="8" max="8" width="62" hidden="0" customWidth="1"/>
    <x:col min="9" max="9" width="54" hidden="0" customWidth="1"/>
  </x:cols>
  <x:sheetData>
    <x:row r="1" ht="15" hidden="0" customHeight="1">
      <x:c r="A1" s="15" t="str">
        <x:v>Study ID</x:v>
      </x:c>
      <x:c r="B1" s="15" t="str">
        <x:v>Logistics operations (multi-label)</x:v>
      </x:c>
      <x:c r="C1" s="15" t="str">
        <x:v>Agentic paradigms and architectures (multi-label)</x:v>
      </x:c>
      <x:c r="D1" s="15" t="str">
        <x:v>Modern agentic capabilities demonstrated</x:v>
      </x:c>
      <x:c r="E1" s="15" t="str">
        <x:v>Classical agent capabilities demonstrated</x:v>
      </x:c>
      <x:c r="F1" s="15" t="str">
        <x:v>Systems, tools, and data technologies</x:v>
      </x:c>
      <x:c r="G1" s="15" t="str">
        <x:v>LLM or base model</x:v>
      </x:c>
      <x:c r="H1" s="15" t="str">
        <x:v>Evaluation metrics</x:v>
      </x:c>
      <x:c r="I1" s="15" t="str">
        <x:v>Direct baseline</x:v>
      </x:c>
    </x:row>
    <x:row r="2" ht="26.399999618530273" hidden="0" customHeight="1">
      <x:c r="A2" s="21" t="str">
        <x:v>S01</x:v>
      </x:c>
      <x:c r="B2" s="21" t="str">
        <x:v>Inventory management; Freight; Fleet management; Supply chain planning; Routing; Transportation</x:v>
      </x:c>
      <x:c r="C2" s="21" t="str">
        <x:v>Intelligent agent; Agentic AI; Decentralized architecture; Multi-agent system</x:v>
      </x:c>
      <x:c r="D2" s="21" t="str">
        <x:v>Planning; Replanning; Orchestration</x:v>
      </x:c>
      <x:c r="E2" s="21" t="str">
        <x:v>Learning; Communication; Coordination; Perception; Decision-making</x:v>
      </x:c>
      <x:c r="F2" s="21" t="str">
        <x:v>knowledge graph/database; LLMs; optimizers; simulation</x:v>
      </x:c>
      <x:c r="G2" s="21" t="str">
        <x:v>Not specified</x:v>
      </x:c>
      <x:c r="H2" s="21" t="str">
        <x:v>accuracy; cost; robustness and scale; response time; coordination; risk mitigation</x:v>
      </x:c>
      <x:c r="I2" s="21" t="str">
        <x:v>Yes</x:v>
      </x:c>
    </x:row>
    <x:row r="3" ht="26.399999618530273" hidden="0" customHeight="1">
      <x:c r="A3" s="10" t="str">
        <x:v>S02</x:v>
      </x:c>
      <x:c r="B3" s="10" t="str">
        <x:v>Warehousing; Purchasing; Distribution; Inventory management; Freight; Supply chain planning; Transportation</x:v>
      </x:c>
      <x:c r="C3" s="10" t="str">
        <x:v>Intelligent agent; Agentic AI; Hierarchical architecture; LLM-based agent; Multi-agent system</x:v>
      </x:c>
      <x:c r="D3" s="10" t="str">
        <x:v>Tool use; Planning; Memory; Orchestration; Replanning</x:v>
      </x:c>
      <x:c r="E3" s="10" t="str">
        <x:v>Communication; Coordination; Perception; Decision-making</x:v>
      </x:c>
      <x:c r="F3" s="10" t="str">
        <x:v>APIs; Drools; ERP; Kafka; Kubernetes; Neo4j; Opensearch; Optaplanner; Postgresql; Redis; simulation; Temporal; TMS; WMS</x:v>
      </x:c>
      <x:c r="G3" s="10" t="str">
        <x:v>LLM accessed through an API; model not reported; 4,096-token context window</x:v>
      </x:c>
      <x:c r="H3" s="10" t="str">
        <x:v>cost; Fill Rate; service level; robustness and scale; response time; Throughput; human acceptance; simulation accuracy</x:v>
      </x:c>
      <x:c r="I3" s="10" t="str">
        <x:v>Yes</x:v>
      </x:c>
    </x:row>
    <x:row r="4" ht="26.399999618530273" hidden="0" customHeight="1">
      <x:c r="A4" s="21" t="str">
        <x:v>S03</x:v>
      </x:c>
      <x:c r="B4" s="21" t="str">
        <x:v>Warehousing; Distribution; Inventory management; Fleet management; Supply chain planning; Routing; Transportation</x:v>
      </x:c>
      <x:c r="C4" s="21" t="str">
        <x:v>Intelligent agent; Hierarchical architecture; LLM-based agent; Reinforcement-learning agent; Multi-agent system</x:v>
      </x:c>
      <x:c r="D4" s="21" t="str">
        <x:v>Tool use; Planning; Replanning; Memory; Orchestration</x:v>
      </x:c>
      <x:c r="E4" s="21" t="str">
        <x:v>Task allocation; Learning; Communication; Coordination; Negotiation; Perception; Decision-making</x:v>
      </x:c>
      <x:c r="F4" s="21" t="str">
        <x:v>APIs; Digital Twin; Ecp; LLMs; Pytorch; Ray Rllib; simulation; VLA</x:v>
      </x:c>
      <x:c r="G4" s="21" t="str">
        <x:v>LLM cluster; DeepSeek and Qwen are mentioned as options, but the deployed model is not identified unambiguously</x:v>
      </x:c>
      <x:c r="H4" s="21" t="str">
        <x:v>cost; energy use and emissions; service level; response time; utilization; operational damage; loading/unloading time</x:v>
      </x:c>
      <x:c r="I4" s="21" t="str">
        <x:v>Yes</x:v>
      </x:c>
    </x:row>
    <x:row r="5" ht="26.399999618530273" hidden="0" customHeight="1">
      <x:c r="A5" s="10" t="str">
        <x:v>S04</x:v>
      </x:c>
      <x:c r="B5" s="10" t="str">
        <x:v>Purchasing; Inventory management</x:v>
      </x:c>
      <x:c r="C5" s="10" t="str">
        <x:v>Agentic AI; Hybrid system; LLM-based agent; Neuro-symbolic system</x:v>
      </x:c>
      <x:c r="D5" s="10" t="str">
        <x:v>Tool use; Planning; Orchestration; Reasoning</x:v>
      </x:c>
      <x:c r="E5" s="10" t="str">
        <x:v>Perception; Decision-making</x:v>
      </x:c>
      <x:c r="F5" s="10" t="str">
        <x:v>Cube; LLMs; Semantic Layer; Text To Sql; symbolic tools</x:v>
      </x:c>
      <x:c r="G5" s="10" t="str">
        <x:v>GPT-4.1; temperature 0.1</x:v>
      </x:c>
      <x:c r="H5" s="10" t="str">
        <x:v>execution accuracy; F1; hallucination; latency; Tokens; computational cost; lines of code</x:v>
      </x:c>
      <x:c r="I5" s="10" t="str">
        <x:v>Yes</x:v>
      </x:c>
    </x:row>
    <x:row r="6" ht="39.599998474121094" hidden="0" customHeight="1">
      <x:c r="A6" s="21" t="str">
        <x:v>S05</x:v>
      </x:c>
      <x:c r="B6" s="21" t="str">
        <x:v>Warehousing; Modular construction logistics; Inventory management; Fleet management; Supply chain planning; Routing; Transportation</x:v>
      </x:c>
      <x:c r="C6" s="21" t="str">
        <x:v>Intelligent agent; Agentic AI; AIoT; BDI/deliberative agent; Decentralized architecture; Reinforcement-learning agent; Multi-agent system</x:v>
      </x:c>
      <x:c r="D6" s="21" t="str">
        <x:v>Context awareness; Planning; Replanning; Orchestration; Tool use</x:v>
      </x:c>
      <x:c r="E6" s="21" t="str">
        <x:v>Task allocation; Learning; Communication; Coordination; Negotiation; Perception; Decision-making</x:v>
      </x:c>
      <x:c r="F6" s="21" t="str">
        <x:v>APIs; Arduino; Dapp; Docker; Fims; Gps Obd; Influxdb; IoT; Kubernetes; Lorawan; Mqtt Grpc; Neo4j; Openai Gym; Pms; RFID/LiDAR; WMS</x:v>
      </x:c>
      <x:c r="G6" s="21" t="str">
        <x:v>Not applicable — no LLM used as a central component</x:v>
      </x:c>
      <x:c r="H6" s="21" t="str">
        <x:v>Jit Accuracy; autonomous adjustments; inventory cost; recovery time; delivery time; alert effectiveness</x:v>
      </x:c>
      <x:c r="I6" s="21" t="str">
        <x:v>Yes</x:v>
      </x:c>
    </x:row>
    <x:row r="7" ht="26.399999618530273" hidden="0" customHeight="1">
      <x:c r="A7" s="10" t="str">
        <x:v>S06</x:v>
      </x:c>
      <x:c r="B7" s="10" t="str">
        <x:v>Warehousing; Purchasing; Distribution; Inventory management; Supply chain planning; Production logistics; Transportation</x:v>
      </x:c>
      <x:c r="C7" s="10" t="str">
        <x:v>Intelligent agent; Agentic AI; LLM-based agent</x:v>
      </x:c>
      <x:c r="D7" s="10" t="str">
        <x:v>Conceptual discussion only — not counted as demonstrated</x:v>
      </x:c>
      <x:c r="E7" s="10" t="str">
        <x:v>Conceptual discussion only — not counted as demonstrated</x:v>
      </x:c>
      <x:c r="F7" s="10" t="str">
        <x:v>interviews; company documents; TOE framework; websites</x:v>
      </x:c>
      <x:c r="G7" s="10" t="str">
        <x:v>Not applicable — no specific LLM implemented or evaluated</x:v>
      </x:c>
      <x:c r="H7" s="10" t="str">
        <x:v>mention frequency; theoretical saturation; participant validation</x:v>
      </x:c>
      <x:c r="I7" s="10" t="str">
        <x:v>Not applicable — qualitative exploratory study</x:v>
      </x:c>
    </x:row>
    <x:row r="8" ht="26.399999618530273" hidden="0" customHeight="1">
      <x:c r="A8" s="21" t="str">
        <x:v>S07</x:v>
      </x:c>
      <x:c r="B8" s="21" t="str">
        <x:v>Freight; Supply chain planning; Routing; Transportation</x:v>
      </x:c>
      <x:c r="C8" s="21" t="str">
        <x:v>Agentic AI; Hybrid system; LLM-based agent; Neuro-symbolic system</x:v>
      </x:c>
      <x:c r="D8" s="21" t="str">
        <x:v>Tool use; Planning; Memory; Orchestration; Reasoning; Replanning</x:v>
      </x:c>
      <x:c r="E8" s="21" t="str">
        <x:v>Perception; Decision-making</x:v>
      </x:c>
      <x:c r="F8" s="21" t="str">
        <x:v>Arize Phoenix; Fastapi; Highs; Langgraph; MCP; Opentelemetry; Postgresql; Pyomo; Qdrant; Redis; simulation</x:v>
      </x:c>
      <x:c r="G8" s="21" t="str">
        <x:v>Gemini 3.1 Flash Lite</x:v>
      </x:c>
      <x:c r="H8" s="21" t="str">
        <x:v>task success; response time; Tokens; iterations; revisions; hallucination; recursion</x:v>
      </x:c>
      <x:c r="I8" s="21" t="str">
        <x:v>Yes</x:v>
      </x:c>
    </x:row>
    <x:row r="9" ht="26.399999618530273" hidden="0" customHeight="1">
      <x:c r="A9" s="10" t="str">
        <x:v>S08</x:v>
      </x:c>
      <x:c r="B9" s="10" t="str">
        <x:v>Purchasing; Distribution; Inventory management; Freight; Supply chain planning; Routing; Supplier selection; Transportation</x:v>
      </x:c>
      <x:c r="C9" s="10" t="str">
        <x:v>Agentic AI; Hierarchical architecture; Hybrid system; LLM-based agent; Multi-agent system</x:v>
      </x:c>
      <x:c r="D9" s="10" t="str">
        <x:v>Tool use; Planning; Orchestration; Reasoning</x:v>
      </x:c>
      <x:c r="E9" s="10" t="str">
        <x:v>Communication; Coordination; Perception; Decision-making</x:v>
      </x:c>
      <x:c r="F9" s="10" t="str">
        <x:v>Aws Bedrock; Boto3; Gradient Boosting; Kmeans; Newsapi; Openrouteservice; Openweathermap; Python; Scikit Learn; Strands Agents; Web Search</x:v>
      </x:c>
      <x:c r="G9" s="10" t="str">
        <x:v>Claude 3 Sonnet through AWS Bedrock</x:v>
      </x:c>
      <x:c r="H9" s="10" t="str">
        <x:v>accuracy; F1; MAE; Silhouette; cost; carbon emissions; service level; risk; CASP; cross-validation robustness</x:v>
      </x:c>
      <x:c r="I9" s="10" t="str">
        <x:v>Partial — comparative models/rules, but no end-to-end baseline for the agentic system</x:v>
      </x:c>
    </x:row>
    <x:row r="10" ht="15" hidden="0" customHeight="1">
      <x:c r="A10" s="21" t="str">
        <x:v>S09</x:v>
      </x:c>
      <x:c r="B10" s="21" t="str">
        <x:v>Supply chain planning; Location selection; Transportation</x:v>
      </x:c>
      <x:c r="C10" s="21" t="str">
        <x:v>Hierarchical architecture; LLM-based agent; Multi-agent system</x:v>
      </x:c>
      <x:c r="D10" s="21" t="str">
        <x:v>Tool use; Planning; Orchestration; Reasoning</x:v>
      </x:c>
      <x:c r="E10" s="21" t="str">
        <x:v>Communication; Coordination; Perception; Decision-making</x:v>
      </x:c>
      <x:c r="F10" s="21" t="str">
        <x:v>APIs; public datasets; Fema; Noaa; Epa; Us Accidents</x:v>
      </x:c>
      <x:c r="G10" s="21" t="str">
        <x:v>LLM not specified</x:v>
      </x:c>
      <x:c r="H10" s="21" t="str">
        <x:v>risk indicators; accidents; pollution; resilience; decision confidence</x:v>
      </x:c>
      <x:c r="I10" s="21" t="str">
        <x:v>No</x:v>
      </x:c>
    </x:row>
    <x:row r="11" ht="26.399999618530273" hidden="0" customHeight="1">
      <x:c r="A11" s="10" t="str">
        <x:v>S10</x:v>
      </x:c>
      <x:c r="B11" s="10" t="str">
        <x:v>Purchasing; Inventory management; Supply chain planning</x:v>
      </x:c>
      <x:c r="C11" s="10" t="str">
        <x:v>Agentic AI; Hierarchical architecture; Hybrid system; LLM-based agent; Multi-agent system</x:v>
      </x:c>
      <x:c r="D11" s="10" t="str">
        <x:v>Context awareness; Planning; Replanning; Orchestration; Reasoning; Tool use</x:v>
      </x:c>
      <x:c r="E11" s="10" t="str">
        <x:v>Communication; Coordination; Perception; Decision-making</x:v>
      </x:c>
      <x:c r="F11" s="10" t="str">
        <x:v>APIs; Data Lake; ERP; Feature Store; Kafka; LSTM; MIP; Reinforcement Learning; TCN; Transformers</x:v>
      </x:c>
      <x:c r="G11" s="10" t="str">
        <x:v>LLM not specified; used for text interpretation, explanations, and communication</x:v>
      </x:c>
      <x:c r="H11" s="10" t="str">
        <x:v>forecast error; Overstock; Stockouts</x:v>
      </x:c>
      <x:c r="I11" s="10" t="str">
        <x:v>Yes</x:v>
      </x:c>
    </x:row>
    <x:row r="12" ht="26.399999618530273" hidden="0" customHeight="1">
      <x:c r="A12" s="21" t="str">
        <x:v>S11</x:v>
      </x:c>
      <x:c r="B12" s="21" t="str">
        <x:v>Purchasing; Inventory management; Supply chain planning</x:v>
      </x:c>
      <x:c r="C12" s="21" t="str">
        <x:v>Decentralized architecture; Reinforcement-learning agent; Multi-agent system</x:v>
      </x:c>
      <x:c r="D12" s="21" t="str">
        <x:v>Replanning</x:v>
      </x:c>
      <x:c r="E12" s="21" t="str">
        <x:v>Learning; Coordination; Perception; Decision-making</x:v>
      </x:c>
      <x:c r="F12" s="21" t="str">
        <x:v>Gumbel Softmax; Optuna; Pytorch; Reinforcement Learning; decision tree; OLS regression; simulation</x:v>
      </x:c>
      <x:c r="G12" s="21" t="str">
        <x:v>Not applicable — ChatGPT-4-Turbo and DeepSeek-V3 were used only as baselines</x:v>
      </x:c>
      <x:c r="H12" s="21" t="str">
        <x:v>profit; Bullwhip; robustness; scalability; convergence; computational time</x:v>
      </x:c>
      <x:c r="I12" s="21" t="str">
        <x:v>Yes</x:v>
      </x:c>
    </x:row>
    <x:row r="13" ht="26.399999618530273" hidden="0" customHeight="1">
      <x:c r="A13" s="10" t="str">
        <x:v>S12</x:v>
      </x:c>
      <x:c r="B13" s="10" t="str">
        <x:v>Last-mile delivery</x:v>
      </x:c>
      <x:c r="C13" s="10" t="str">
        <x:v>Agentic AI; Hierarchical architecture; LLM-based agent; Multi-agent system</x:v>
      </x:c>
      <x:c r="D13" s="10" t="str">
        <x:v>Context awareness; Planning; Reasoning; Tool use; Orchestration</x:v>
      </x:c>
      <x:c r="E13" s="10" t="str">
        <x:v>Communication; Coordination; Perception; Decision-making</x:v>
      </x:c>
      <x:c r="F13" s="10" t="str">
        <x:v>Dspy; deterministic tools; GPS; Lade Dataset; Wilcoxon test</x:v>
      </x:c>
      <x:c r="G13" s="10" t="str">
        <x:v>GPT-4.1 for generation and GPT-4.1-mini as judge</x:v>
      </x:c>
      <x:c r="H13" s="10" t="str">
        <x:v>Quality Score; Issue Coverage; hallucination; verification; context awareness; statistical significance; effect size</x:v>
      </x:c>
      <x:c r="I13" s="10" t="str">
        <x:v>Yes</x:v>
      </x:c>
    </x:row>
    <x:row r="14" ht="26.399999618530273" hidden="0" customHeight="1">
      <x:c r="A14" s="21" t="str">
        <x:v>S13</x:v>
      </x:c>
      <x:c r="B14" s="21" t="str">
        <x:v>Warehousing; Intralogistics; Picking; Packing; Safety and ergonomics</x:v>
      </x:c>
      <x:c r="C14" s="21" t="str">
        <x:v>Agentic AI; Hybrid system; LLM-based agent; Neuro-symbolic system; Reinforcement-learning agent; Multi-agent system</x:v>
      </x:c>
      <x:c r="D14" s="21" t="str">
        <x:v>Context awareness; Memory; Orchestration; Reasoning; Replanning; Tool use</x:v>
      </x:c>
      <x:c r="E14" s="21" t="str">
        <x:v>Learning; Communication; Coordination; Perception; Decision-making</x:v>
      </x:c>
      <x:c r="F14" s="21" t="str">
        <x:v>BPMN; Digital Twin; Function Calling; IMU; Knowledge Graph; Lara; Llama 3 8b; MARL; Omocap; simulation; WMS</x:v>
      </x:c>
      <x:c r="G14" s="21" t="str">
        <x:v>Llama 3 8B with JSON function calling</x:v>
      </x:c>
      <x:c r="H14" s="21" t="str">
        <x:v>Macro F1; Logic Compliance; Actionability; Cohen's kappa; efficiency reward; safety reward; latency</x:v>
      </x:c>
      <x:c r="I14" s="21" t="str">
        <x:v>Yes</x:v>
      </x:c>
    </x:row>
    <x:row r="15" ht="26.399999618530273" hidden="0" customHeight="1">
      <x:c r="A15" s="10" t="str">
        <x:v>S14</x:v>
      </x:c>
      <x:c r="B15" s="10" t="str">
        <x:v>Distribution; Freight; Traceability; Transportation</x:v>
      </x:c>
      <x:c r="C15" s="10" t="str">
        <x:v>Reactive agent; Condition-triggered automation; Blockchain-enabled architecture</x:v>
      </x:c>
      <x:c r="D15" s="10" t="str">
        <x:v>Tool use</x:v>
      </x:c>
      <x:c r="E15" s="10" t="str">
        <x:v>Perception; Decision-making</x:v>
      </x:c>
      <x:c r="F15" s="10" t="str">
        <x:v>APIs; Blockchain; Chaincode; Couchdb; Docker; Geofencing; Go; Hyperledger Fabric; IoT; Java Spring; Nodejs; Raft; X.509</x:v>
      </x:c>
      <x:c r="G15" s="10" t="str">
        <x:v>Not applicable — no LLM reported</x:v>
      </x:c>
      <x:c r="H15" s="10" t="str">
        <x:v>commit latency; transition correctness; access control; integrity; traceability</x:v>
      </x:c>
      <x:c r="I15" s="10" t="str">
        <x:v>Partial — comparison only with expected/reported Fabric performance; no end-to-end logistics baseline</x:v>
      </x:c>
    </x:row>
    <x:row r="16" ht="26.399999618530273" hidden="0" customHeight="1">
      <x:c r="A16" s="21" t="str">
        <x:v>S15</x:v>
      </x:c>
      <x:c r="B16" s="21" t="str">
        <x:v>Supply chain planning; Supplier selection; Partner selection</x:v>
      </x:c>
      <x:c r="C16" s="21" t="str">
        <x:v>LLM-based agent; Multi-agent simulation; Multi-agent system</x:v>
      </x:c>
      <x:c r="D16" s="21" t="str">
        <x:v>Memory; Planning; Reasoning; Orchestration; Human-in-the-loop interaction</x:v>
      </x:c>
      <x:c r="E16" s="21" t="str">
        <x:v>Communication; Coordination; Negotiation; Decision-making</x:v>
      </x:c>
      <x:c r="F16" s="21" t="str">
        <x:v>Chatgpt 4o; Deepseek V3; Gemini 2 5 Flash; LLMs; predictive models; Shap; Visual Analytics</x:v>
      </x:c>
      <x:c r="G16" s="21" t="str">
        <x:v>ChatGPT-4o, Gemini 2.5 Flash, and DeepSeek-V3</x:v>
      </x:c>
      <x:c r="H16" s="21" t="str">
        <x:v>historical alignment; Gwet's AC1; decision consistency; Usabilidade; expert assessment</x:v>
      </x:c>
      <x:c r="I16" s="21" t="str">
        <x:v>No — user study without a comparable baseline; technical evaluation compares LLMs rather than systems</x:v>
      </x:c>
    </x:row>
    <x:row r="17" ht="26.399999618530273" hidden="0" customHeight="1">
      <x:c r="A17" s="10" t="str">
        <x:v>S16</x:v>
      </x:c>
      <x:c r="B17" s="10" t="str">
        <x:v>Supply chain planning; Location selection; Supply chain risk management</x:v>
      </x:c>
      <x:c r="C17" s="10" t="str">
        <x:v>Hierarchical architecture; LLM-based agent; Multi-agent system</x:v>
      </x:c>
      <x:c r="D17" s="10" t="str">
        <x:v>Memory; Orchestration; Reasoning; Replanning</x:v>
      </x:c>
      <x:c r="E17" s="10" t="str">
        <x:v>Communication; Coordination; Decision-making</x:v>
      </x:c>
      <x:c r="F17" s="10" t="str">
        <x:v>Balltree; Langgraph; Noaa; Npmrd; Scikit Learn; Us Accidents; crime and real-estate datasets</x:v>
      </x:c>
      <x:c r="G17" s="10" t="str">
        <x:v>GPT-4o; additional tests used GPT-5 mini, o4-mini, Claude Haiku 4.5, Gemini 2.5 Flash, and Llama 4 Maverick</x:v>
      </x:c>
      <x:c r="H17" s="10" t="str">
        <x:v>Severity Accuracy; Narrative Fidelity; Reason Clarity; Confidence; Pearson's r; MAE; execution time; Tokens; Ranking</x:v>
      </x:c>
      <x:c r="I17" s="10" t="str">
        <x:v>Yes</x:v>
      </x:c>
    </x:row>
    <x:row r="18" ht="26.399999618530273" hidden="0" customHeight="1">
      <x:c r="A18" s="21" t="str">
        <x:v>S17</x:v>
      </x:c>
      <x:c r="B18" s="21" t="str">
        <x:v>Inventory management; Maintenance logistics; Supply chain planning; Demand forecasting</x:v>
      </x:c>
      <x:c r="C18" s="21" t="str">
        <x:v>Agentic AI; Hierarchical architecture; LLM-based agent; ReAct; Multi-agent system</x:v>
      </x:c>
      <x:c r="D18" s="21" t="str">
        <x:v>Memory; Orchestration; Planning; Reasoning; Replanning; Tool use</x:v>
      </x:c>
      <x:c r="E18" s="21" t="str">
        <x:v>Task allocation; Communication; Coordination; Perception; Decision-making</x:v>
      </x:c>
      <x:c r="F18" s="21" t="str">
        <x:v>Deepseek Api; Langgraph; RAG; React; statistical models; machine-learning models; Shared State; Tool Calling</x:v>
      </x:c>
      <x:c r="G18" s="21" t="str">
        <x:v>DeepSeek-V3.1; temperature 0.2</x:v>
      </x:c>
      <x:c r="H18" s="21" t="str">
        <x:v>MAE; NRMSE; MASE; RelMAE; RRMSE; Top-1; Wilcoxon test; Cliff's delta; latency; Tokens</x:v>
      </x:c>
      <x:c r="I18" s="21" t="str">
        <x:v>Yes</x:v>
      </x:c>
    </x:row>
    <x:row r="19" ht="26.399999618530273" hidden="0" customHeight="1">
      <x:c r="A19" s="10" t="str">
        <x:v>S18</x:v>
      </x:c>
      <x:c r="B19" s="10" t="str">
        <x:v>Port logistics; Stowage planning; Transportation</x:v>
      </x:c>
      <x:c r="C19" s="10" t="str">
        <x:v>Agentic AI; Hybrid system; Hierarchical architecture; LLM-based agent; Multi-agent system</x:v>
      </x:c>
      <x:c r="D19" s="10" t="str">
        <x:v>Orchestration; Planning; Reasoning; Replanning; Tool use</x:v>
      </x:c>
      <x:c r="E19" s="10" t="str">
        <x:v>Task allocation; Communication; Coordination; Decision-making</x:v>
      </x:c>
      <x:c r="F19" s="10" t="str">
        <x:v>Gemini; Gurobi; Python; RAG; Few Shot; chain-of-thought prompting; code generation</x:v>
      </x:c>
      <x:c r="G19" s="10" t="str">
        <x:v>Gemini 2.5 Pro</x:v>
      </x:c>
      <x:c r="H19" s="10" t="str">
        <x:v>Stowage Success; Attribute Matching; BSDR; weight distribution; weight violations; planning time; adaptability</x:v>
      </x:c>
      <x:c r="I19" s="10" t="str">
        <x:v>Yes</x:v>
      </x:c>
    </x:row>
    <x:row r="20" ht="26.399999618530273" hidden="0" customHeight="1">
      <x:c r="A20" s="21" t="str">
        <x:v>S19</x:v>
      </x:c>
      <x:c r="B20" s="21" t="str">
        <x:v>Inventory management; Supply chain planning</x:v>
      </x:c>
      <x:c r="C20" s="21" t="str">
        <x:v>Agentic AI; Hierarchical architecture; LLM-based agent; Multi-agent system</x:v>
      </x:c>
      <x:c r="D20" s="21" t="str">
        <x:v>Tool use; Planning; Orchestration</x:v>
      </x:c>
      <x:c r="E20" s="21" t="str">
        <x:v>Communication; Coordination; Perception; Decision-making</x:v>
      </x:c>
      <x:c r="F20" s="21" t="str">
        <x:v>APIs; Blockchain; ERP; Hyperledger Fabric; IoT; Langchain; MCP; Smart Contracts</x:v>
      </x:c>
      <x:c r="G20" s="21" t="str">
        <x:v>GPT-4o-mini</x:v>
      </x:c>
      <x:c r="H20" s="21" t="str">
        <x:v>response time; Throughput; task success; security/safety; robustness and scale</x:v>
      </x:c>
      <x:c r="I20" s="21" t="str">
        <x:v>Yes</x:v>
      </x:c>
    </x:row>
    <x:row r="21" ht="26.399999618530273" hidden="0" customHeight="1">
      <x:c r="A21" s="10" t="str">
        <x:v>S20</x:v>
      </x:c>
      <x:c r="B21" s="10" t="str">
        <x:v>Purchasing; Inventory management; Supply chain planning</x:v>
      </x:c>
      <x:c r="C21" s="10" t="str">
        <x:v>Decentralized architecture; Reinforcement-learning agent; Multi-agent system</x:v>
      </x:c>
      <x:c r="D21" s="10" t="str">
        <x:v>Memory</x:v>
      </x:c>
      <x:c r="E21" s="10" t="str">
        <x:v>Learning; Coordination; Negotiation; Decision-making</x:v>
      </x:c>
      <x:c r="F21" s="10" t="str">
        <x:v>APIs; Blockchain; DQN; MLP; Raft; Smart Contracts</x:v>
      </x:c>
      <x:c r="G21" s="10" t="str">
        <x:v>Not applicable — no LLM used</x:v>
      </x:c>
      <x:c r="H21" s="10" t="str">
        <x:v>convergence; profit; price; inventory; robustness and scale</x:v>
      </x:c>
      <x:c r="I21" s="10" t="str">
        <x:v>No</x:v>
      </x:c>
    </x:row>
    <x:row r="22" ht="26.399999618530273" hidden="0" customHeight="1">
      <x:c r="A22" s="21" t="str">
        <x:v>S21</x:v>
      </x:c>
      <x:c r="B22" s="21" t="str">
        <x:v>Warehousing; Inventory management; Fleet management; Picking; Order processing; Routing; Transportation</x:v>
      </x:c>
      <x:c r="C22" s="21" t="str">
        <x:v>Intelligent agent; LLM-based agent; Robotic agent</x:v>
      </x:c>
      <x:c r="D22" s="21" t="str">
        <x:v>Tool use; Planning; Memory</x:v>
      </x:c>
      <x:c r="E22" s="21" t="str">
        <x:v>Task allocation; Coordination; Perception; Decision-making</x:v>
      </x:c>
      <x:c r="F22" s="21" t="str">
        <x:v>Flask; Gazebo; Ims; Oms; RAG; Rfms; Rms; Ros2; Tiago; Turtlebot3; UAV</x:v>
      </x:c>
      <x:c r="G22" s="21" t="str">
        <x:v>LLaMA3-70B, Gemma2-9B-IT, and DeepSeek-32B</x:v>
      </x:c>
      <x:c r="H22" s="21" t="str">
        <x:v>accuracy; correctness; completeness; relevance; hallucination; response time</x:v>
      </x:c>
      <x:c r="I22" s="21" t="str">
        <x:v>Yes</x:v>
      </x:c>
    </x:row>
    <x:row r="23" ht="26.399999618530273" hidden="0" customHeight="1">
      <x:c r="A23" s="10" t="str">
        <x:v>S22</x:v>
      </x:c>
      <x:c r="B23" s="10" t="str">
        <x:v>Purchasing; Inventory management; Supply chain planning; Transportation</x:v>
      </x:c>
      <x:c r="C23" s="10" t="str">
        <x:v>Hierarchical architecture; LLM-based agent; Multi-agent system</x:v>
      </x:c>
      <x:c r="D23" s="10" t="str">
        <x:v>Memory; Planning; Replanning; Orchestration</x:v>
      </x:c>
      <x:c r="E23" s="10" t="str">
        <x:v>Communication; Coordination; Perception; Decision-making</x:v>
      </x:c>
      <x:c r="F23" s="10" t="str">
        <x:v>Emails; Langchain; Langgraph; Last Planner System; purchase orders</x:v>
      </x:c>
      <x:c r="G23" s="10" t="str">
        <x:v>GPT-4; 8,000-token context window</x:v>
      </x:c>
      <x:c r="H23" s="10" t="str">
        <x:v>task success; functional feasibility</x:v>
      </x:c>
      <x:c r="I23" s="10" t="str">
        <x:v>No</x:v>
      </x:c>
    </x:row>
    <x:row r="24" ht="26.399999618530273" hidden="0" customHeight="1">
      <x:c r="A24" s="21" t="str">
        <x:v>S23</x:v>
      </x:c>
      <x:c r="B24" s="21" t="str">
        <x:v>Purchasing; Inventory management; Airline logistics; MRO logistics; Supply chain planning; Routing; Transportation</x:v>
      </x:c>
      <x:c r="C24" s="21" t="str">
        <x:v>Agentic AI; Hybrid system</x:v>
      </x:c>
      <x:c r="D24" s="21" t="str">
        <x:v>Context awareness; Planning; Replanning; Orchestration</x:v>
      </x:c>
      <x:c r="E24" s="21" t="str">
        <x:v>Learning; Perception; Decision-making</x:v>
      </x:c>
      <x:c r="F24" s="21" t="str">
        <x:v>genetic algorithms; ARIMA; Digital Twin; ERP; IoT; LSTM; MRO; Reinforcement Learning; Rule Engine; simulation</x:v>
      </x:c>
      <x:c r="G24" s="21" t="str">
        <x:v>Not applicable — no base LLM/model specified</x:v>
      </x:c>
      <x:c r="H24" s="21" t="str">
        <x:v>accuracy; Turnaround; reliability; CASK; inventory turnover; recovery time; CO2/RTK; SAF; Bias; human override</x:v>
      </x:c>
      <x:c r="I24" s="21" t="str">
        <x:v>Yes</x:v>
      </x:c>
    </x:row>
    <x:row r="25" ht="26.399999618530273" hidden="0" customHeight="1">
      <x:c r="A25" s="10" t="str">
        <x:v>S24</x:v>
      </x:c>
      <x:c r="B25" s="10" t="str">
        <x:v>Warehousing; Freight; Supply chain planning; Routing; Transportation</x:v>
      </x:c>
      <x:c r="C25" s="10" t="str">
        <x:v>Agentic AI; Hierarchical architecture; LLM-based agent; Multi-agent system</x:v>
      </x:c>
      <x:c r="D25" s="10" t="str">
        <x:v>Tool use; Planning; Memory; Orchestration; Reasoning</x:v>
      </x:c>
      <x:c r="E25" s="10" t="str">
        <x:v>Task allocation; Communication; Coordination; Decision-making</x:v>
      </x:c>
      <x:c r="F25" s="10" t="str">
        <x:v>Anylogic; Docker; Faf; Fastapi; Geoserver; Gurobi; MCP; Neo4j; Openstreetmap; RAG; Sentence Transformers; WMS</x:v>
      </x:c>
      <x:c r="G25" s="10" t="str">
        <x:v>Central LLM not specified; configured with API/MCP templates</x:v>
      </x:c>
      <x:c r="H25" s="10" t="str">
        <x:v>solver time; end-to-end time; response time; concurrency; scalability; optimality</x:v>
      </x:c>
      <x:c r="I25" s="10" t="str">
        <x:v>No</x:v>
      </x:c>
    </x:row>
    <x:row r="26" ht="26.399999618530273" hidden="0" customHeight="1">
      <x:c r="A26" s="21" t="str">
        <x:v>S25</x:v>
      </x:c>
      <x:c r="B26" s="21" t="str">
        <x:v>Purchasing; Inventory management; Airline logistics; MRO logistics; Supply chain planning; Routing; Transportation</x:v>
      </x:c>
      <x:c r="C26" s="21" t="str">
        <x:v>Intelligent agent; Agentic AI; Hierarchical architecture</x:v>
      </x:c>
      <x:c r="D26" s="21" t="str">
        <x:v>Context awareness; Planning; Replanning; Orchestration; Reasoning</x:v>
      </x:c>
      <x:c r="E26" s="21" t="str">
        <x:v>Learning; Coordination; Perception; Decision-making</x:v>
      </x:c>
      <x:c r="F26" s="21" t="str">
        <x:v>Digital Twin; ERP; IoT; MRO; simulation; IATA/ICAO benchmarks; governance rules</x:v>
      </x:c>
      <x:c r="G26" s="21" t="str">
        <x:v>Not applicable — no base LLM/model specified</x:v>
      </x:c>
      <x:c r="H26" s="21" t="str">
        <x:v>accuracy; CASK; resilience; CO2/RTK; KPI compliance; auditability</x:v>
      </x:c>
      <x:c r="I26" s="21" t="str">
        <x:v>Yes</x:v>
      </x:c>
    </x:row>
    <x:row r="27" ht="26.399999618530273" hidden="0" customHeight="1">
      <x:c r="A27" s="10" t="str">
        <x:v>S26</x:v>
      </x:c>
      <x:c r="B27" s="10" t="str">
        <x:v>Warehousing; Distribution; Inventory management; Supply chain planning</x:v>
      </x:c>
      <x:c r="C27" s="10" t="str">
        <x:v>Intelligent agent; Decentralized architecture; Reinforcement-learning agent; Multi-agent system</x:v>
      </x:c>
      <x:c r="D27" s="10" t="str">
        <x:v>Replanning</x:v>
      </x:c>
      <x:c r="E27" s="10" t="str">
        <x:v>Learning; Communication; Coordination; Perception; Decision-making</x:v>
      </x:c>
      <x:c r="F27" s="10" t="str">
        <x:v>simulation; Reinforcement Learning; Multi Agent Reinforcement Learning; IoT</x:v>
      </x:c>
      <x:c r="G27" s="10" t="str">
        <x:v>Not applicable — no LLM used</x:v>
      </x:c>
      <x:c r="H27" s="10" t="str">
        <x:v>inventory turnover; Stockouts; holding cost; convergence; resilience</x:v>
      </x:c>
      <x:c r="I27" s="10" t="str">
        <x:v>Yes</x:v>
      </x:c>
    </x:row>
    <x:row r="28" ht="26.399999618530273" hidden="0" customHeight="1">
      <x:c r="A28" s="21" t="str">
        <x:v>S27</x:v>
      </x:c>
      <x:c r="B28" s="21" t="str">
        <x:v>Port logistics; Routing; Transportation</x:v>
      </x:c>
      <x:c r="C28" s="21" t="str">
        <x:v>Intelligent agent; LLM-based agent; RAG</x:v>
      </x:c>
      <x:c r="D28" s="21" t="str">
        <x:v>Memory; Reasoning; Tool use</x:v>
      </x:c>
      <x:c r="E28" s="21" t="str">
        <x:v>Perception; Decision-making</x:v>
      </x:c>
      <x:c r="F28" s="21" t="str">
        <x:v>Ais; APIs; Knowledge Graph; Mkr; Openai Api; RAG; Transd; Transe; Transh; Transr</x:v>
      </x:c>
      <x:c r="G28" s="21" t="str">
        <x:v>OpenAI LLM through an API; specific model not reported</x:v>
      </x:c>
      <x:c r="H28" s="21" t="str">
        <x:v>berth utilization; anchored vessels; waiting rate; Hits; MR; MRR; similarity</x:v>
      </x:c>
      <x:c r="I28" s="21" t="str">
        <x:v>Yes</x:v>
      </x:c>
    </x:row>
    <x:row r="29" ht="26.399999618530273" hidden="0" customHeight="1">
      <x:c r="A29" s="10" t="str">
        <x:v>S28</x:v>
      </x:c>
      <x:c r="B29" s="10" t="str">
        <x:v>Warehousing; Intralogistics; Pallet movement</x:v>
      </x:c>
      <x:c r="C29" s="10" t="str">
        <x:v>Agentic AI; Hybrid system; LLM-based agent; Robotic system</x:v>
      </x:c>
      <x:c r="D29" s="10" t="str">
        <x:v>Planning; Reasoning; Replanning; Tool use</x:v>
      </x:c>
      <x:c r="E29" s="10" t="str">
        <x:v>Perception; Decision-making</x:v>
      </x:c>
      <x:c r="F29" s="10" t="str">
        <x:v>Fast Downward; Function Calling; PDDL; grid-world simulation</x:v>
      </x:c>
      <x:c r="G29" s="10" t="str">
        <x:v>GPT-4o and GPT-o1</x:v>
      </x:c>
      <x:c r="H29" s="10" t="str">
        <x:v>task success; executable steps; optimality; hallucination; logical violations; planning time</x:v>
      </x:c>
      <x:c r="I29" s="10" t="str">
        <x:v>Yes</x:v>
      </x:c>
    </x:row>
    <x:row r="30" ht="26.399999618530273" hidden="0" customHeight="1">
      <x:c r="A30" s="21" t="str">
        <x:v>S29</x:v>
      </x:c>
      <x:c r="B30" s="21" t="str">
        <x:v>Supply chain cybersecurity</x:v>
      </x:c>
      <x:c r="C30" s="21" t="str">
        <x:v>Intelligent agent; Hierarchical architecture; Reinforcement-learning agent; Multi-agent system</x:v>
      </x:c>
      <x:c r="D30" s="21" t="str">
        <x:v>Context awareness; Orchestration; Replanning</x:v>
      </x:c>
      <x:c r="E30" s="21" t="str">
        <x:v>Learning; Communication; Coordination; Perception; Decision-making</x:v>
      </x:c>
      <x:c r="F30" s="21" t="str">
        <x:v>Flask; IoT; Mqtt; Numpy; Pubsub; Pytorch; Q Learning; Random Forest; Scikit Learn; Tensorflow</x:v>
      </x:c>
      <x:c r="G30" s="21" t="str">
        <x:v>Not applicable — no LLM used</x:v>
      </x:c>
      <x:c r="H30" s="21" t="str">
        <x:v>detection accuracy; false-positive rate; response time; RL reward; threat correlation; availability</x:v>
      </x:c>
      <x:c r="I30" s="21" t="str">
        <x:v>Yes</x:v>
      </x:c>
    </x:row>
    <x:row r="31" ht="26.399999618530273" hidden="0" customHeight="1">
      <x:c r="A31" s="10" t="str">
        <x:v>S30</x:v>
      </x:c>
      <x:c r="B31" s="10" t="str">
        <x:v>Inventory management; Supply chain planning; Replenishment</x:v>
      </x:c>
      <x:c r="C31" s="10" t="str">
        <x:v>Agentic AI; Hierarchical architecture; LLM-based agent; Multi-agent system</x:v>
      </x:c>
      <x:c r="D31" s="10" t="str">
        <x:v>Memory; Orchestration; Planning; Reasoning; Replanning; Tool use</x:v>
      </x:c>
      <x:c r="E31" s="10" t="str">
        <x:v>Communication; Coordination; Decision-making</x:v>
      </x:c>
      <x:c r="F31" s="10" t="str">
        <x:v>Autogen; Flask; Jupyter; Openai Api; linear programming; Python; SARIMAX; Vuejs</x:v>
      </x:c>
      <x:c r="G31" s="10" t="str">
        <x:v>GPT-4o-2024-05-13 and GPT-4o</x:v>
      </x:c>
      <x:c r="H31" s="10" t="str">
        <x:v>MAE; MSE; RMSE; MAPE; inventory turnover; Stockout; freight cost; holding cost; total cost</x:v>
      </x:c>
      <x:c r="I31" s="10" t="str">
        <x:v>Yes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3" hidden="0" customWidth="1"/>
    <x:col min="17" max="17" width="17" hidden="0" customWidth="1"/>
    <x:col min="18" max="18" width="18" hidden="0" customWidth="1"/>
    <x:col min="19" max="19" width="15" hidden="0" customWidth="1"/>
  </x:cols>
  <x:sheetData>
    <x:row r="1" ht="15" hidden="0" customHeight="1">
      <x:c r="A1" s="15" t="str">
        <x:v>Study ID</x:v>
      </x:c>
      <x:c r="B1" s="15" t="str">
        <x:v>Pipeline ID</x:v>
      </x:c>
      <x:c r="C1" s="15" t="str">
        <x:v>Year</x:v>
      </x:c>
      <x:c r="D1" s="15" t="str">
        <x:v>QA1</x:v>
      </x:c>
      <x:c r="E1" s="15" t="str">
        <x:v>QA2</x:v>
      </x:c>
      <x:c r="F1" s="15" t="str">
        <x:v>QA3</x:v>
      </x:c>
      <x:c r="G1" s="15" t="str">
        <x:v>QA4</x:v>
      </x:c>
      <x:c r="H1" s="15" t="str">
        <x:v>QA5</x:v>
      </x:c>
      <x:c r="I1" s="15" t="str">
        <x:v>QA6</x:v>
      </x:c>
      <x:c r="J1" s="15" t="str">
        <x:v>QA7</x:v>
      </x:c>
      <x:c r="K1" s="15" t="str">
        <x:v>QA8</x:v>
      </x:c>
      <x:c r="L1" s="15" t="str">
        <x:v>QA9</x:v>
      </x:c>
      <x:c r="M1" s="15" t="str">
        <x:v>QA10</x:v>
      </x:c>
      <x:c r="N1" s="15" t="str">
        <x:v>QA11</x:v>
      </x:c>
      <x:c r="O1" s="15" t="str">
        <x:v>QA12</x:v>
      </x:c>
      <x:c r="P1" s="15" t="str">
        <x:v>Score sum</x:v>
      </x:c>
      <x:c r="Q1" s="15" t="str">
        <x:v>Applicable criteria</x:v>
      </x:c>
      <x:c r="R1" s="15" t="str">
        <x:v>Quality score (%)</x:v>
      </x:c>
      <x:c r="S1" s="15" t="str">
        <x:v>Quality class</x:v>
      </x:c>
    </x:row>
    <x:row r="2" ht="15" hidden="0" customHeight="1">
      <x:c r="A2" s="21" t="str">
        <x:v>S01</x:v>
      </x:c>
      <x:c r="B2" s="21" t="n">
        <x:v>7</x:v>
      </x:c>
      <x:c r="C2" s="21" t="n">
        <x:v>2026</x:v>
      </x:c>
      <x:c r="D2" s="21" t="n">
        <x:v>1</x:v>
      </x:c>
      <x:c r="E2" s="21" t="n">
        <x:v>0.5</x:v>
      </x:c>
      <x:c r="F2" s="21" t="n">
        <x:v>0.5</x:v>
      </x:c>
      <x:c r="G2" s="21" t="n">
        <x:v>0.5</x:v>
      </x:c>
      <x:c r="H2" s="21" t="n">
        <x:v>0.5</x:v>
      </x:c>
      <x:c r="I2" s="21" t="n">
        <x:v>1</x:v>
      </x:c>
      <x:c r="J2" s="21" t="n">
        <x:v>1</x:v>
      </x:c>
      <x:c r="K2" s="21" t="n">
        <x:v>0</x:v>
      </x:c>
      <x:c r="L2" s="21" t="n">
        <x:v>0.5</x:v>
      </x:c>
      <x:c r="M2" s="21" t="n">
        <x:v>0</x:v>
      </x:c>
      <x:c r="N2" s="21" t="n">
        <x:v>0.5</x:v>
      </x:c>
      <x:c r="O2" s="21" t="n">
        <x:v>0.5</x:v>
      </x:c>
      <x:c r="P2" s="21" t="n">
        <x:f>SUM(D2:O2)</x:f>
        <x:v>6.5</x:v>
      </x:c>
      <x:c r="Q2" s="21" t="n">
        <x:f>COUNT(D2:O2)</x:f>
        <x:v>12</x:v>
      </x:c>
      <x:c r="R2" s="23" t="n">
        <x:f>P2/Q2*100</x:f>
        <x:v>54.166666666666664</x:v>
      </x:c>
      <x:c r="S2" s="21" t="str">
        <x:f>IF(R2&lt;40,"Low",IF(R2&lt;70,"Moderate","High"))</x:f>
        <x:v>Moderate</x:v>
      </x:c>
    </x:row>
    <x:row r="3" ht="15" hidden="0" customHeight="1">
      <x:c r="A3" s="10" t="str">
        <x:v>S02</x:v>
      </x:c>
      <x:c r="B3" s="10" t="n">
        <x:v>30</x:v>
      </x:c>
      <x:c r="C3" s="10" t="n">
        <x:v>2026</x:v>
      </x:c>
      <x:c r="D3" s="10" t="n">
        <x:v>1</x:v>
      </x:c>
      <x:c r="E3" s="10" t="n">
        <x:v>1</x:v>
      </x:c>
      <x:c r="F3" s="10" t="n">
        <x:v>1</x:v>
      </x:c>
      <x:c r="G3" s="10" t="n">
        <x:v>1</x:v>
      </x:c>
      <x:c r="H3" s="10" t="n">
        <x:v>1</x:v>
      </x:c>
      <x:c r="I3" s="10" t="n">
        <x:v>1</x:v>
      </x:c>
      <x:c r="J3" s="10" t="n">
        <x:v>1</x:v>
      </x:c>
      <x:c r="K3" s="10" t="n">
        <x:v>0.5</x:v>
      </x:c>
      <x:c r="L3" s="10" t="n">
        <x:v>1</x:v>
      </x:c>
      <x:c r="M3" s="10" t="n">
        <x:v>1</x:v>
      </x:c>
      <x:c r="N3" s="10" t="n">
        <x:v>1</x:v>
      </x:c>
      <x:c r="O3" s="10" t="n">
        <x:v>1</x:v>
      </x:c>
      <x:c r="P3" s="10" t="n">
        <x:f>SUM(D3:O3)</x:f>
        <x:v>11.5</x:v>
      </x:c>
      <x:c r="Q3" s="10" t="n">
        <x:f>COUNT(D3:O3)</x:f>
        <x:v>12</x:v>
      </x:c>
      <x:c r="R3" s="17" t="n">
        <x:f>P3/Q3*100</x:f>
        <x:v>95.83333333333334</x:v>
      </x:c>
      <x:c r="S3" s="10" t="str">
        <x:f>IF(R3&lt;40,"Low",IF(R3&lt;70,"Moderate","High"))</x:f>
        <x:v>High</x:v>
      </x:c>
    </x:row>
    <x:row r="4" ht="15" hidden="0" customHeight="1">
      <x:c r="A4" s="21" t="str">
        <x:v>S03</x:v>
      </x:c>
      <x:c r="B4" s="21" t="n">
        <x:v>51</x:v>
      </x:c>
      <x:c r="C4" s="21" t="n">
        <x:v>2026</x:v>
      </x:c>
      <x:c r="D4" s="21" t="n">
        <x:v>1</x:v>
      </x:c>
      <x:c r="E4" s="21" t="n">
        <x:v>1</x:v>
      </x:c>
      <x:c r="F4" s="21" t="n">
        <x:v>1</x:v>
      </x:c>
      <x:c r="G4" s="21" t="n">
        <x:v>1</x:v>
      </x:c>
      <x:c r="H4" s="21" t="n">
        <x:v>1</x:v>
      </x:c>
      <x:c r="I4" s="21" t="n">
        <x:v>1</x:v>
      </x:c>
      <x:c r="J4" s="21" t="n">
        <x:v>1</x:v>
      </x:c>
      <x:c r="K4" s="21" t="n">
        <x:v>0.5</x:v>
      </x:c>
      <x:c r="L4" s="21" t="n">
        <x:v>1</x:v>
      </x:c>
      <x:c r="M4" s="21" t="n">
        <x:v>0.5</x:v>
      </x:c>
      <x:c r="N4" s="21" t="n">
        <x:v>1</x:v>
      </x:c>
      <x:c r="O4" s="21" t="n">
        <x:v>1</x:v>
      </x:c>
      <x:c r="P4" s="21" t="n">
        <x:f>SUM(D4:O4)</x:f>
        <x:v>11</x:v>
      </x:c>
      <x:c r="Q4" s="21" t="n">
        <x:f>COUNT(D4:O4)</x:f>
        <x:v>12</x:v>
      </x:c>
      <x:c r="R4" s="23" t="n">
        <x:f>P4/Q4*100</x:f>
        <x:v>91.66666666666666</x:v>
      </x:c>
      <x:c r="S4" s="21" t="str">
        <x:f>IF(R4&lt;40,"Low",IF(R4&lt;70,"Moderate","High"))</x:f>
        <x:v>High</x:v>
      </x:c>
    </x:row>
    <x:row r="5" ht="15" hidden="0" customHeight="1">
      <x:c r="A5" s="10" t="str">
        <x:v>S04</x:v>
      </x:c>
      <x:c r="B5" s="10" t="n">
        <x:v>86</x:v>
      </x:c>
      <x:c r="C5" s="10" t="n">
        <x:v>2026</x:v>
      </x:c>
      <x:c r="D5" s="10" t="n">
        <x:v>1</x:v>
      </x:c>
      <x:c r="E5" s="10" t="n">
        <x:v>1</x:v>
      </x:c>
      <x:c r="F5" s="10" t="n">
        <x:v>0.5</x:v>
      </x:c>
      <x:c r="G5" s="10" t="n">
        <x:v>1</x:v>
      </x:c>
      <x:c r="H5" s="10" t="n">
        <x:v>1</x:v>
      </x:c>
      <x:c r="I5" s="10" t="n">
        <x:v>1</x:v>
      </x:c>
      <x:c r="J5" s="10" t="n">
        <x:v>1</x:v>
      </x:c>
      <x:c r="K5" s="10" t="n">
        <x:v>0.5</x:v>
      </x:c>
      <x:c r="L5" s="10" t="n">
        <x:v>1</x:v>
      </x:c>
      <x:c r="M5" s="10" t="n">
        <x:v>0</x:v>
      </x:c>
      <x:c r="N5" s="10" t="n">
        <x:v>1</x:v>
      </x:c>
      <x:c r="O5" s="10" t="n">
        <x:v>1</x:v>
      </x:c>
      <x:c r="P5" s="10" t="n">
        <x:f>SUM(D5:O5)</x:f>
        <x:v>10</x:v>
      </x:c>
      <x:c r="Q5" s="10" t="n">
        <x:f>COUNT(D5:O5)</x:f>
        <x:v>12</x:v>
      </x:c>
      <x:c r="R5" s="17" t="n">
        <x:f>P5/Q5*100</x:f>
        <x:v>83.33333333333334</x:v>
      </x:c>
      <x:c r="S5" s="10" t="str">
        <x:f>IF(R5&lt;40,"Low",IF(R5&lt;70,"Moderate","High"))</x:f>
        <x:v>High</x:v>
      </x:c>
    </x:row>
    <x:row r="6" ht="15" hidden="0" customHeight="1">
      <x:c r="A6" s="21" t="str">
        <x:v>S05</x:v>
      </x:c>
      <x:c r="B6" s="21" t="n">
        <x:v>171</x:v>
      </x:c>
      <x:c r="C6" s="21" t="n">
        <x:v>2026</x:v>
      </x:c>
      <x:c r="D6" s="21" t="n">
        <x:v>1</x:v>
      </x:c>
      <x:c r="E6" s="21" t="n">
        <x:v>1</x:v>
      </x:c>
      <x:c r="F6" s="21" t="n">
        <x:v>1</x:v>
      </x:c>
      <x:c r="G6" s="21" t="n">
        <x:v>1</x:v>
      </x:c>
      <x:c r="H6" s="21" t="n">
        <x:v>1</x:v>
      </x:c>
      <x:c r="I6" s="21" t="n">
        <x:v>1</x:v>
      </x:c>
      <x:c r="J6" s="21" t="n">
        <x:v>1</x:v>
      </x:c>
      <x:c r="K6" s="21" t="n">
        <x:v>0.5</x:v>
      </x:c>
      <x:c r="L6" s="21" t="n">
        <x:v>1</x:v>
      </x:c>
      <x:c r="M6" s="21" t="n">
        <x:v>1</x:v>
      </x:c>
      <x:c r="N6" s="21" t="n">
        <x:v>1</x:v>
      </x:c>
      <x:c r="O6" s="21" t="n">
        <x:v>1</x:v>
      </x:c>
      <x:c r="P6" s="21" t="n">
        <x:f>SUM(D6:O6)</x:f>
        <x:v>11.5</x:v>
      </x:c>
      <x:c r="Q6" s="21" t="n">
        <x:f>COUNT(D6:O6)</x:f>
        <x:v>12</x:v>
      </x:c>
      <x:c r="R6" s="23" t="n">
        <x:f>P6/Q6*100</x:f>
        <x:v>95.83333333333334</x:v>
      </x:c>
      <x:c r="S6" s="21" t="str">
        <x:f>IF(R6&lt;40,"Low",IF(R6&lt;70,"Moderate","High"))</x:f>
        <x:v>High</x:v>
      </x:c>
    </x:row>
    <x:row r="7" ht="15" hidden="0" customHeight="1">
      <x:c r="A7" s="10" t="str">
        <x:v>S06</x:v>
      </x:c>
      <x:c r="B7" s="10" t="n">
        <x:v>185</x:v>
      </x:c>
      <x:c r="C7" s="10" t="n">
        <x:v>2026</x:v>
      </x:c>
      <x:c r="D7" s="10" t="n">
        <x:v>1</x:v>
      </x:c>
      <x:c r="E7" s="10" t="n">
        <x:v>0.5</x:v>
      </x:c>
      <x:c r="F7" s="10" t="n">
        <x:v>1</x:v>
      </x:c>
      <x:c r="G7" s="10" t="n">
        <x:v>1</x:v>
      </x:c>
      <x:c r="H7" s="10" t="n">
        <x:v>1</x:v>
      </x:c>
      <x:c r="I7" s="10" t="str">
        <x:v>N/A</x:v>
      </x:c>
      <x:c r="J7" s="10" t="n">
        <x:v>1</x:v>
      </x:c>
      <x:c r="K7" s="10" t="n">
        <x:v>0.5</x:v>
      </x:c>
      <x:c r="L7" s="10" t="n">
        <x:v>1</x:v>
      </x:c>
      <x:c r="M7" s="10" t="n">
        <x:v>1</x:v>
      </x:c>
      <x:c r="N7" s="10" t="n">
        <x:v>1</x:v>
      </x:c>
      <x:c r="O7" s="10" t="n">
        <x:v>0.5</x:v>
      </x:c>
      <x:c r="P7" s="10" t="n">
        <x:f>SUM(D7:O7)</x:f>
        <x:v>9.5</x:v>
      </x:c>
      <x:c r="Q7" s="10" t="n">
        <x:f>COUNT(D7:O7)</x:f>
        <x:v>11</x:v>
      </x:c>
      <x:c r="R7" s="17" t="n">
        <x:f>P7/Q7*100</x:f>
        <x:v>86.36363636363636</x:v>
      </x:c>
      <x:c r="S7" s="10" t="str">
        <x:f>IF(R7&lt;40,"Low",IF(R7&lt;70,"Moderate","High"))</x:f>
        <x:v>High</x:v>
      </x:c>
    </x:row>
    <x:row r="8" ht="15" hidden="0" customHeight="1">
      <x:c r="A8" s="21" t="str">
        <x:v>S07</x:v>
      </x:c>
      <x:c r="B8" s="21" t="n">
        <x:v>217</x:v>
      </x:c>
      <x:c r="C8" s="21" t="n">
        <x:v>2026</x:v>
      </x:c>
      <x:c r="D8" s="21" t="n">
        <x:v>1</x:v>
      </x:c>
      <x:c r="E8" s="21" t="n">
        <x:v>1</x:v>
      </x:c>
      <x:c r="F8" s="21" t="n">
        <x:v>1</x:v>
      </x:c>
      <x:c r="G8" s="21" t="n">
        <x:v>1</x:v>
      </x:c>
      <x:c r="H8" s="21" t="n">
        <x:v>1</x:v>
      </x:c>
      <x:c r="I8" s="21" t="n">
        <x:v>1</x:v>
      </x:c>
      <x:c r="J8" s="21" t="n">
        <x:v>1</x:v>
      </x:c>
      <x:c r="K8" s="21" t="n">
        <x:v>0.5</x:v>
      </x:c>
      <x:c r="L8" s="21" t="n">
        <x:v>1</x:v>
      </x:c>
      <x:c r="M8" s="21" t="n">
        <x:v>1</x:v>
      </x:c>
      <x:c r="N8" s="21" t="n">
        <x:v>1</x:v>
      </x:c>
      <x:c r="O8" s="21" t="n">
        <x:v>1</x:v>
      </x:c>
      <x:c r="P8" s="21" t="n">
        <x:f>SUM(D8:O8)</x:f>
        <x:v>11.5</x:v>
      </x:c>
      <x:c r="Q8" s="21" t="n">
        <x:f>COUNT(D8:O8)</x:f>
        <x:v>12</x:v>
      </x:c>
      <x:c r="R8" s="23" t="n">
        <x:f>P8/Q8*100</x:f>
        <x:v>95.83333333333334</x:v>
      </x:c>
      <x:c r="S8" s="21" t="str">
        <x:f>IF(R8&lt;40,"Low",IF(R8&lt;70,"Moderate","High"))</x:f>
        <x:v>High</x:v>
      </x:c>
    </x:row>
    <x:row r="9" ht="15" hidden="0" customHeight="1">
      <x:c r="A9" s="10" t="str">
        <x:v>S08</x:v>
      </x:c>
      <x:c r="B9" s="10" t="n">
        <x:v>235</x:v>
      </x:c>
      <x:c r="C9" s="10" t="n">
        <x:v>2026</x:v>
      </x:c>
      <x:c r="D9" s="10" t="n">
        <x:v>1</x:v>
      </x:c>
      <x:c r="E9" s="10" t="n">
        <x:v>1</x:v>
      </x:c>
      <x:c r="F9" s="10" t="n">
        <x:v>1</x:v>
      </x:c>
      <x:c r="G9" s="10" t="n">
        <x:v>1</x:v>
      </x:c>
      <x:c r="H9" s="10" t="n">
        <x:v>1</x:v>
      </x:c>
      <x:c r="I9" s="10" t="n">
        <x:v>0.5</x:v>
      </x:c>
      <x:c r="J9" s="10" t="n">
        <x:v>1</x:v>
      </x:c>
      <x:c r="K9" s="10" t="n">
        <x:v>1</x:v>
      </x:c>
      <x:c r="L9" s="10" t="n">
        <x:v>1</x:v>
      </x:c>
      <x:c r="M9" s="10" t="n">
        <x:v>1</x:v>
      </x:c>
      <x:c r="N9" s="10" t="n">
        <x:v>1</x:v>
      </x:c>
      <x:c r="O9" s="10" t="n">
        <x:v>1</x:v>
      </x:c>
      <x:c r="P9" s="10" t="n">
        <x:f>SUM(D9:O9)</x:f>
        <x:v>11.5</x:v>
      </x:c>
      <x:c r="Q9" s="10" t="n">
        <x:f>COUNT(D9:O9)</x:f>
        <x:v>12</x:v>
      </x:c>
      <x:c r="R9" s="17" t="n">
        <x:f>P9/Q9*100</x:f>
        <x:v>95.83333333333334</x:v>
      </x:c>
      <x:c r="S9" s="10" t="str">
        <x:f>IF(R9&lt;40,"Low",IF(R9&lt;70,"Moderate","High"))</x:f>
        <x:v>High</x:v>
      </x:c>
    </x:row>
    <x:row r="10" ht="15" hidden="0" customHeight="1">
      <x:c r="A10" s="21" t="str">
        <x:v>S09</x:v>
      </x:c>
      <x:c r="B10" s="21" t="n">
        <x:v>236</x:v>
      </x:c>
      <x:c r="C10" s="21" t="n">
        <x:v>2026</x:v>
      </x:c>
      <x:c r="D10" s="21" t="n">
        <x:v>1</x:v>
      </x:c>
      <x:c r="E10" s="21" t="n">
        <x:v>1</x:v>
      </x:c>
      <x:c r="F10" s="21" t="n">
        <x:v>1</x:v>
      </x:c>
      <x:c r="G10" s="21" t="n">
        <x:v>0.5</x:v>
      </x:c>
      <x:c r="H10" s="21" t="n">
        <x:v>0.5</x:v>
      </x:c>
      <x:c r="I10" s="21" t="n">
        <x:v>0</x:v>
      </x:c>
      <x:c r="J10" s="21" t="n">
        <x:v>0.5</x:v>
      </x:c>
      <x:c r="K10" s="21" t="n">
        <x:v>0.5</x:v>
      </x:c>
      <x:c r="L10" s="21" t="n">
        <x:v>0.5</x:v>
      </x:c>
      <x:c r="M10" s="21" t="n">
        <x:v>0</x:v>
      </x:c>
      <x:c r="N10" s="21" t="n">
        <x:v>1</x:v>
      </x:c>
      <x:c r="O10" s="21" t="n">
        <x:v>1</x:v>
      </x:c>
      <x:c r="P10" s="21" t="n">
        <x:f>SUM(D10:O10)</x:f>
        <x:v>7.5</x:v>
      </x:c>
      <x:c r="Q10" s="21" t="n">
        <x:f>COUNT(D10:O10)</x:f>
        <x:v>12</x:v>
      </x:c>
      <x:c r="R10" s="23" t="n">
        <x:f>P10/Q10*100</x:f>
        <x:v>62.5</x:v>
      </x:c>
      <x:c r="S10" s="21" t="str">
        <x:f>IF(R10&lt;40,"Low",IF(R10&lt;70,"Moderate","High"))</x:f>
        <x:v>Moderate</x:v>
      </x:c>
    </x:row>
    <x:row r="11" ht="15" hidden="0" customHeight="1">
      <x:c r="A11" s="10" t="str">
        <x:v>S10</x:v>
      </x:c>
      <x:c r="B11" s="10" t="n">
        <x:v>299</x:v>
      </x:c>
      <x:c r="C11" s="10" t="n">
        <x:v>2026</x:v>
      </x:c>
      <x:c r="D11" s="10" t="n">
        <x:v>1</x:v>
      </x:c>
      <x:c r="E11" s="10" t="n">
        <x:v>1</x:v>
      </x:c>
      <x:c r="F11" s="10" t="n">
        <x:v>0.5</x:v>
      </x:c>
      <x:c r="G11" s="10" t="n">
        <x:v>0.5</x:v>
      </x:c>
      <x:c r="H11" s="10" t="n">
        <x:v>0.5</x:v>
      </x:c>
      <x:c r="I11" s="10" t="n">
        <x:v>1</x:v>
      </x:c>
      <x:c r="J11" s="10" t="n">
        <x:v>0.5</x:v>
      </x:c>
      <x:c r="K11" s="10" t="n">
        <x:v>0</x:v>
      </x:c>
      <x:c r="L11" s="10" t="n">
        <x:v>0.5</x:v>
      </x:c>
      <x:c r="M11" s="10" t="n">
        <x:v>0</x:v>
      </x:c>
      <x:c r="N11" s="10" t="n">
        <x:v>0.5</x:v>
      </x:c>
      <x:c r="O11" s="10" t="n">
        <x:v>1</x:v>
      </x:c>
      <x:c r="P11" s="10" t="n">
        <x:f>SUM(D11:O11)</x:f>
        <x:v>7</x:v>
      </x:c>
      <x:c r="Q11" s="10" t="n">
        <x:f>COUNT(D11:O11)</x:f>
        <x:v>12</x:v>
      </x:c>
      <x:c r="R11" s="17" t="n">
        <x:f>P11/Q11*100</x:f>
        <x:v>58.333333333333336</x:v>
      </x:c>
      <x:c r="S11" s="10" t="str">
        <x:f>IF(R11&lt;40,"Low",IF(R11&lt;70,"Moderate","High"))</x:f>
        <x:v>Moderate</x:v>
      </x:c>
    </x:row>
    <x:row r="12" ht="15" hidden="0" customHeight="1">
      <x:c r="A12" s="21" t="str">
        <x:v>S11</x:v>
      </x:c>
      <x:c r="B12" s="21" t="n">
        <x:v>342</x:v>
      </x:c>
      <x:c r="C12" s="21" t="n">
        <x:v>2026</x:v>
      </x:c>
      <x:c r="D12" s="21" t="n">
        <x:v>1</x:v>
      </x:c>
      <x:c r="E12" s="21" t="n">
        <x:v>1</x:v>
      </x:c>
      <x:c r="F12" s="21" t="n">
        <x:v>1</x:v>
      </x:c>
      <x:c r="G12" s="21" t="n">
        <x:v>1</x:v>
      </x:c>
      <x:c r="H12" s="21" t="n">
        <x:v>1</x:v>
      </x:c>
      <x:c r="I12" s="21" t="n">
        <x:v>1</x:v>
      </x:c>
      <x:c r="J12" s="21" t="n">
        <x:v>1</x:v>
      </x:c>
      <x:c r="K12" s="21" t="n">
        <x:v>0.5</x:v>
      </x:c>
      <x:c r="L12" s="21" t="n">
        <x:v>1</x:v>
      </x:c>
      <x:c r="M12" s="21" t="n">
        <x:v>1</x:v>
      </x:c>
      <x:c r="N12" s="21" t="n">
        <x:v>1</x:v>
      </x:c>
      <x:c r="O12" s="21" t="n">
        <x:v>1</x:v>
      </x:c>
      <x:c r="P12" s="21" t="n">
        <x:f>SUM(D12:O12)</x:f>
        <x:v>11.5</x:v>
      </x:c>
      <x:c r="Q12" s="21" t="n">
        <x:f>COUNT(D12:O12)</x:f>
        <x:v>12</x:v>
      </x:c>
      <x:c r="R12" s="23" t="n">
        <x:f>P12/Q12*100</x:f>
        <x:v>95.83333333333334</x:v>
      </x:c>
      <x:c r="S12" s="21" t="str">
        <x:f>IF(R12&lt;40,"Low",IF(R12&lt;70,"Moderate","High"))</x:f>
        <x:v>High</x:v>
      </x:c>
    </x:row>
    <x:row r="13" ht="15" hidden="0" customHeight="1">
      <x:c r="A13" s="10" t="str">
        <x:v>S12</x:v>
      </x:c>
      <x:c r="B13" s="10" t="n">
        <x:v>353</x:v>
      </x:c>
      <x:c r="C13" s="10" t="n">
        <x:v>2026</x:v>
      </x:c>
      <x:c r="D13" s="10" t="n">
        <x:v>1</x:v>
      </x:c>
      <x:c r="E13" s="10" t="n">
        <x:v>1</x:v>
      </x:c>
      <x:c r="F13" s="10" t="n">
        <x:v>1</x:v>
      </x:c>
      <x:c r="G13" s="10" t="n">
        <x:v>1</x:v>
      </x:c>
      <x:c r="H13" s="10" t="n">
        <x:v>1</x:v>
      </x:c>
      <x:c r="I13" s="10" t="n">
        <x:v>1</x:v>
      </x:c>
      <x:c r="J13" s="10" t="n">
        <x:v>1</x:v>
      </x:c>
      <x:c r="K13" s="10" t="n">
        <x:v>0.5</x:v>
      </x:c>
      <x:c r="L13" s="10" t="n">
        <x:v>1</x:v>
      </x:c>
      <x:c r="M13" s="10" t="n">
        <x:v>1</x:v>
      </x:c>
      <x:c r="N13" s="10" t="n">
        <x:v>1</x:v>
      </x:c>
      <x:c r="O13" s="10" t="n">
        <x:v>1</x:v>
      </x:c>
      <x:c r="P13" s="10" t="n">
        <x:f>SUM(D13:O13)</x:f>
        <x:v>11.5</x:v>
      </x:c>
      <x:c r="Q13" s="10" t="n">
        <x:f>COUNT(D13:O13)</x:f>
        <x:v>12</x:v>
      </x:c>
      <x:c r="R13" s="17" t="n">
        <x:f>P13/Q13*100</x:f>
        <x:v>95.83333333333334</x:v>
      </x:c>
      <x:c r="S13" s="10" t="str">
        <x:f>IF(R13&lt;40,"Low",IF(R13&lt;70,"Moderate","High"))</x:f>
        <x:v>High</x:v>
      </x:c>
    </x:row>
    <x:row r="14" ht="15" hidden="0" customHeight="1">
      <x:c r="A14" s="21" t="str">
        <x:v>S13</x:v>
      </x:c>
      <x:c r="B14" s="21" t="n">
        <x:v>357</x:v>
      </x:c>
      <x:c r="C14" s="21" t="n">
        <x:v>2026</x:v>
      </x:c>
      <x:c r="D14" s="21" t="n">
        <x:v>1</x:v>
      </x:c>
      <x:c r="E14" s="21" t="n">
        <x:v>1</x:v>
      </x:c>
      <x:c r="F14" s="21" t="n">
        <x:v>1</x:v>
      </x:c>
      <x:c r="G14" s="21" t="n">
        <x:v>1</x:v>
      </x:c>
      <x:c r="H14" s="21" t="n">
        <x:v>1</x:v>
      </x:c>
      <x:c r="I14" s="21" t="n">
        <x:v>1</x:v>
      </x:c>
      <x:c r="J14" s="21" t="n">
        <x:v>1</x:v>
      </x:c>
      <x:c r="K14" s="21" t="n">
        <x:v>0.5</x:v>
      </x:c>
      <x:c r="L14" s="21" t="n">
        <x:v>1</x:v>
      </x:c>
      <x:c r="M14" s="21" t="n">
        <x:v>1</x:v>
      </x:c>
      <x:c r="N14" s="21" t="n">
        <x:v>1</x:v>
      </x:c>
      <x:c r="O14" s="21" t="n">
        <x:v>1</x:v>
      </x:c>
      <x:c r="P14" s="21" t="n">
        <x:f>SUM(D14:O14)</x:f>
        <x:v>11.5</x:v>
      </x:c>
      <x:c r="Q14" s="21" t="n">
        <x:f>COUNT(D14:O14)</x:f>
        <x:v>12</x:v>
      </x:c>
      <x:c r="R14" s="23" t="n">
        <x:f>P14/Q14*100</x:f>
        <x:v>95.83333333333334</x:v>
      </x:c>
      <x:c r="S14" s="21" t="str">
        <x:f>IF(R14&lt;40,"Low",IF(R14&lt;70,"Moderate","High"))</x:f>
        <x:v>High</x:v>
      </x:c>
    </x:row>
    <x:row r="15" ht="15" hidden="0" customHeight="1">
      <x:c r="A15" s="10" t="str">
        <x:v>S14</x:v>
      </x:c>
      <x:c r="B15" s="10" t="n">
        <x:v>358</x:v>
      </x:c>
      <x:c r="C15" s="10" t="n">
        <x:v>2026</x:v>
      </x:c>
      <x:c r="D15" s="10" t="n">
        <x:v>1</x:v>
      </x:c>
      <x:c r="E15" s="10" t="n">
        <x:v>0.5</x:v>
      </x:c>
      <x:c r="F15" s="10" t="n">
        <x:v>0.5</x:v>
      </x:c>
      <x:c r="G15" s="10" t="n">
        <x:v>0.5</x:v>
      </x:c>
      <x:c r="H15" s="10" t="n">
        <x:v>0.5</x:v>
      </x:c>
      <x:c r="I15" s="10" t="n">
        <x:v>0.5</x:v>
      </x:c>
      <x:c r="J15" s="10" t="n">
        <x:v>0.5</x:v>
      </x:c>
      <x:c r="K15" s="10" t="n">
        <x:v>0</x:v>
      </x:c>
      <x:c r="L15" s="10" t="n">
        <x:v>0.5</x:v>
      </x:c>
      <x:c r="M15" s="10" t="n">
        <x:v>0</x:v>
      </x:c>
      <x:c r="N15" s="10" t="n">
        <x:v>1</x:v>
      </x:c>
      <x:c r="O15" s="10" t="n">
        <x:v>1</x:v>
      </x:c>
      <x:c r="P15" s="10" t="n">
        <x:f>SUM(D15:O15)</x:f>
        <x:v>6.5</x:v>
      </x:c>
      <x:c r="Q15" s="10" t="n">
        <x:f>COUNT(D15:O15)</x:f>
        <x:v>12</x:v>
      </x:c>
      <x:c r="R15" s="17" t="n">
        <x:f>P15/Q15*100</x:f>
        <x:v>54.166666666666664</x:v>
      </x:c>
      <x:c r="S15" s="10" t="str">
        <x:f>IF(R15&lt;40,"Low",IF(R15&lt;70,"Moderate","High"))</x:f>
        <x:v>Moderate</x:v>
      </x:c>
    </x:row>
    <x:row r="16" ht="15" hidden="0" customHeight="1">
      <x:c r="A16" s="21" t="str">
        <x:v>S15</x:v>
      </x:c>
      <x:c r="B16" s="21" t="n">
        <x:v>369</x:v>
      </x:c>
      <x:c r="C16" s="21" t="n">
        <x:v>2026</x:v>
      </x:c>
      <x:c r="D16" s="21" t="n">
        <x:v>1</x:v>
      </x:c>
      <x:c r="E16" s="21" t="n">
        <x:v>1</x:v>
      </x:c>
      <x:c r="F16" s="21" t="n">
        <x:v>1</x:v>
      </x:c>
      <x:c r="G16" s="21" t="n">
        <x:v>1</x:v>
      </x:c>
      <x:c r="H16" s="21" t="n">
        <x:v>1</x:v>
      </x:c>
      <x:c r="I16" s="21" t="n">
        <x:v>0.5</x:v>
      </x:c>
      <x:c r="J16" s="21" t="n">
        <x:v>1</x:v>
      </x:c>
      <x:c r="K16" s="21" t="n">
        <x:v>0.5</x:v>
      </x:c>
      <x:c r="L16" s="21" t="n">
        <x:v>0.5</x:v>
      </x:c>
      <x:c r="M16" s="21" t="n">
        <x:v>0.5</x:v>
      </x:c>
      <x:c r="N16" s="21" t="n">
        <x:v>1</x:v>
      </x:c>
      <x:c r="O16" s="21" t="n">
        <x:v>1</x:v>
      </x:c>
      <x:c r="P16" s="21" t="n">
        <x:f>SUM(D16:O16)</x:f>
        <x:v>10</x:v>
      </x:c>
      <x:c r="Q16" s="21" t="n">
        <x:f>COUNT(D16:O16)</x:f>
        <x:v>12</x:v>
      </x:c>
      <x:c r="R16" s="23" t="n">
        <x:f>P16/Q16*100</x:f>
        <x:v>83.33333333333334</x:v>
      </x:c>
      <x:c r="S16" s="21" t="str">
        <x:f>IF(R16&lt;40,"Low",IF(R16&lt;70,"Moderate","High"))</x:f>
        <x:v>High</x:v>
      </x:c>
    </x:row>
    <x:row r="17" ht="15" hidden="0" customHeight="1">
      <x:c r="A17" s="10" t="str">
        <x:v>S16</x:v>
      </x:c>
      <x:c r="B17" s="10" t="n">
        <x:v>392</x:v>
      </x:c>
      <x:c r="C17" s="10" t="n">
        <x:v>2026</x:v>
      </x:c>
      <x:c r="D17" s="10" t="n">
        <x:v>1</x:v>
      </x:c>
      <x:c r="E17" s="10" t="n">
        <x:v>1</x:v>
      </x:c>
      <x:c r="F17" s="10" t="n">
        <x:v>1</x:v>
      </x:c>
      <x:c r="G17" s="10" t="n">
        <x:v>1</x:v>
      </x:c>
      <x:c r="H17" s="10" t="n">
        <x:v>1</x:v>
      </x:c>
      <x:c r="I17" s="10" t="n">
        <x:v>1</x:v>
      </x:c>
      <x:c r="J17" s="10" t="n">
        <x:v>1</x:v>
      </x:c>
      <x:c r="K17" s="10" t="n">
        <x:v>0.5</x:v>
      </x:c>
      <x:c r="L17" s="10" t="n">
        <x:v>1</x:v>
      </x:c>
      <x:c r="M17" s="10" t="n">
        <x:v>1</x:v>
      </x:c>
      <x:c r="N17" s="10" t="n">
        <x:v>1</x:v>
      </x:c>
      <x:c r="O17" s="10" t="n">
        <x:v>1</x:v>
      </x:c>
      <x:c r="P17" s="10" t="n">
        <x:f>SUM(D17:O17)</x:f>
        <x:v>11.5</x:v>
      </x:c>
      <x:c r="Q17" s="10" t="n">
        <x:f>COUNT(D17:O17)</x:f>
        <x:v>12</x:v>
      </x:c>
      <x:c r="R17" s="17" t="n">
        <x:f>P17/Q17*100</x:f>
        <x:v>95.83333333333334</x:v>
      </x:c>
      <x:c r="S17" s="10" t="str">
        <x:f>IF(R17&lt;40,"Low",IF(R17&lt;70,"Moderate","High"))</x:f>
        <x:v>High</x:v>
      </x:c>
    </x:row>
    <x:row r="18" ht="15" hidden="0" customHeight="1">
      <x:c r="A18" s="21" t="str">
        <x:v>S17</x:v>
      </x:c>
      <x:c r="B18" s="21" t="n">
        <x:v>881</x:v>
      </x:c>
      <x:c r="C18" s="21" t="n">
        <x:v>2026</x:v>
      </x:c>
      <x:c r="D18" s="21" t="n">
        <x:v>1</x:v>
      </x:c>
      <x:c r="E18" s="21" t="n">
        <x:v>1</x:v>
      </x:c>
      <x:c r="F18" s="21" t="n">
        <x:v>1</x:v>
      </x:c>
      <x:c r="G18" s="21" t="n">
        <x:v>1</x:v>
      </x:c>
      <x:c r="H18" s="21" t="n">
        <x:v>1</x:v>
      </x:c>
      <x:c r="I18" s="21" t="n">
        <x:v>1</x:v>
      </x:c>
      <x:c r="J18" s="21" t="n">
        <x:v>1</x:v>
      </x:c>
      <x:c r="K18" s="21" t="n">
        <x:v>0.5</x:v>
      </x:c>
      <x:c r="L18" s="21" t="n">
        <x:v>1</x:v>
      </x:c>
      <x:c r="M18" s="21" t="n">
        <x:v>1</x:v>
      </x:c>
      <x:c r="N18" s="21" t="n">
        <x:v>1</x:v>
      </x:c>
      <x:c r="O18" s="21" t="n">
        <x:v>1</x:v>
      </x:c>
      <x:c r="P18" s="21" t="n">
        <x:f>SUM(D18:O18)</x:f>
        <x:v>11.5</x:v>
      </x:c>
      <x:c r="Q18" s="21" t="n">
        <x:f>COUNT(D18:O18)</x:f>
        <x:v>12</x:v>
      </x:c>
      <x:c r="R18" s="23" t="n">
        <x:f>P18/Q18*100</x:f>
        <x:v>95.83333333333334</x:v>
      </x:c>
      <x:c r="S18" s="21" t="str">
        <x:f>IF(R18&lt;40,"Low",IF(R18&lt;70,"Moderate","High"))</x:f>
        <x:v>High</x:v>
      </x:c>
    </x:row>
    <x:row r="19" ht="15" hidden="0" customHeight="1">
      <x:c r="A19" s="10" t="str">
        <x:v>S18</x:v>
      </x:c>
      <x:c r="B19" s="10" t="n">
        <x:v>889</x:v>
      </x:c>
      <x:c r="C19" s="10" t="n">
        <x:v>2026</x:v>
      </x:c>
      <x:c r="D19" s="10" t="n">
        <x:v>1</x:v>
      </x:c>
      <x:c r="E19" s="10" t="n">
        <x:v>1</x:v>
      </x:c>
      <x:c r="F19" s="10" t="n">
        <x:v>1</x:v>
      </x:c>
      <x:c r="G19" s="10" t="n">
        <x:v>1</x:v>
      </x:c>
      <x:c r="H19" s="10" t="n">
        <x:v>1</x:v>
      </x:c>
      <x:c r="I19" s="10" t="n">
        <x:v>1</x:v>
      </x:c>
      <x:c r="J19" s="10" t="n">
        <x:v>1</x:v>
      </x:c>
      <x:c r="K19" s="10" t="n">
        <x:v>0.5</x:v>
      </x:c>
      <x:c r="L19" s="10" t="n">
        <x:v>1</x:v>
      </x:c>
      <x:c r="M19" s="10" t="n">
        <x:v>1</x:v>
      </x:c>
      <x:c r="N19" s="10" t="n">
        <x:v>1</x:v>
      </x:c>
      <x:c r="O19" s="10" t="n">
        <x:v>1</x:v>
      </x:c>
      <x:c r="P19" s="10" t="n">
        <x:f>SUM(D19:O19)</x:f>
        <x:v>11.5</x:v>
      </x:c>
      <x:c r="Q19" s="10" t="n">
        <x:f>COUNT(D19:O19)</x:f>
        <x:v>12</x:v>
      </x:c>
      <x:c r="R19" s="17" t="n">
        <x:f>P19/Q19*100</x:f>
        <x:v>95.83333333333334</x:v>
      </x:c>
      <x:c r="S19" s="10" t="str">
        <x:f>IF(R19&lt;40,"Low",IF(R19&lt;70,"Moderate","High"))</x:f>
        <x:v>High</x:v>
      </x:c>
    </x:row>
    <x:row r="20" ht="15" hidden="0" customHeight="1">
      <x:c r="A20" s="21" t="str">
        <x:v>S19</x:v>
      </x:c>
      <x:c r="B20" s="21" t="n">
        <x:v>8</x:v>
      </x:c>
      <x:c r="C20" s="21" t="n">
        <x:v>2025</x:v>
      </x:c>
      <x:c r="D20" s="21" t="n">
        <x:v>1</x:v>
      </x:c>
      <x:c r="E20" s="21" t="n">
        <x:v>1</x:v>
      </x:c>
      <x:c r="F20" s="21" t="n">
        <x:v>1</x:v>
      </x:c>
      <x:c r="G20" s="21" t="n">
        <x:v>1</x:v>
      </x:c>
      <x:c r="H20" s="21" t="n">
        <x:v>1</x:v>
      </x:c>
      <x:c r="I20" s="21" t="n">
        <x:v>1</x:v>
      </x:c>
      <x:c r="J20" s="21" t="n">
        <x:v>1</x:v>
      </x:c>
      <x:c r="K20" s="21" t="n">
        <x:v>0.5</x:v>
      </x:c>
      <x:c r="L20" s="21" t="n">
        <x:v>1</x:v>
      </x:c>
      <x:c r="M20" s="21" t="n">
        <x:v>0.5</x:v>
      </x:c>
      <x:c r="N20" s="21" t="n">
        <x:v>1</x:v>
      </x:c>
      <x:c r="O20" s="21" t="n">
        <x:v>1</x:v>
      </x:c>
      <x:c r="P20" s="21" t="n">
        <x:f>SUM(D20:O20)</x:f>
        <x:v>11</x:v>
      </x:c>
      <x:c r="Q20" s="21" t="n">
        <x:f>COUNT(D20:O20)</x:f>
        <x:v>12</x:v>
      </x:c>
      <x:c r="R20" s="23" t="n">
        <x:f>P20/Q20*100</x:f>
        <x:v>91.66666666666666</x:v>
      </x:c>
      <x:c r="S20" s="21" t="str">
        <x:f>IF(R20&lt;40,"Low",IF(R20&lt;70,"Moderate","High"))</x:f>
        <x:v>High</x:v>
      </x:c>
    </x:row>
    <x:row r="21" ht="15" hidden="0" customHeight="1">
      <x:c r="A21" s="10" t="str">
        <x:v>S20</x:v>
      </x:c>
      <x:c r="B21" s="10" t="n">
        <x:v>11</x:v>
      </x:c>
      <x:c r="C21" s="10" t="n">
        <x:v>2025</x:v>
      </x:c>
      <x:c r="D21" s="10" t="n">
        <x:v>1</x:v>
      </x:c>
      <x:c r="E21" s="10" t="n">
        <x:v>1</x:v>
      </x:c>
      <x:c r="F21" s="10" t="n">
        <x:v>1</x:v>
      </x:c>
      <x:c r="G21" s="10" t="n">
        <x:v>0.5</x:v>
      </x:c>
      <x:c r="H21" s="10" t="n">
        <x:v>0.5</x:v>
      </x:c>
      <x:c r="I21" s="10" t="n">
        <x:v>0</x:v>
      </x:c>
      <x:c r="J21" s="10" t="n">
        <x:v>0.5</x:v>
      </x:c>
      <x:c r="K21" s="10" t="n">
        <x:v>0.5</x:v>
      </x:c>
      <x:c r="L21" s="10" t="n">
        <x:v>1</x:v>
      </x:c>
      <x:c r="M21" s="10" t="n">
        <x:v>1</x:v>
      </x:c>
      <x:c r="N21" s="10" t="n">
        <x:v>0.5</x:v>
      </x:c>
      <x:c r="O21" s="10" t="n">
        <x:v>0.5</x:v>
      </x:c>
      <x:c r="P21" s="10" t="n">
        <x:f>SUM(D21:O21)</x:f>
        <x:v>8</x:v>
      </x:c>
      <x:c r="Q21" s="10" t="n">
        <x:f>COUNT(D21:O21)</x:f>
        <x:v>12</x:v>
      </x:c>
      <x:c r="R21" s="17" t="n">
        <x:f>P21/Q21*100</x:f>
        <x:v>66.66666666666666</x:v>
      </x:c>
      <x:c r="S21" s="10" t="str">
        <x:f>IF(R21&lt;40,"Low",IF(R21&lt;70,"Moderate","High"))</x:f>
        <x:v>Moderate</x:v>
      </x:c>
    </x:row>
    <x:row r="22" ht="15" hidden="0" customHeight="1">
      <x:c r="A22" s="21" t="str">
        <x:v>S21</x:v>
      </x:c>
      <x:c r="B22" s="21" t="n">
        <x:v>113</x:v>
      </x:c>
      <x:c r="C22" s="21" t="n">
        <x:v>2025</x:v>
      </x:c>
      <x:c r="D22" s="21" t="n">
        <x:v>1</x:v>
      </x:c>
      <x:c r="E22" s="21" t="n">
        <x:v>1</x:v>
      </x:c>
      <x:c r="F22" s="21" t="n">
        <x:v>0.5</x:v>
      </x:c>
      <x:c r="G22" s="21" t="n">
        <x:v>0.5</x:v>
      </x:c>
      <x:c r="H22" s="21" t="n">
        <x:v>1</x:v>
      </x:c>
      <x:c r="I22" s="21" t="n">
        <x:v>1</x:v>
      </x:c>
      <x:c r="J22" s="21" t="n">
        <x:v>1</x:v>
      </x:c>
      <x:c r="K22" s="21" t="n">
        <x:v>0.5</x:v>
      </x:c>
      <x:c r="L22" s="21" t="n">
        <x:v>0.5</x:v>
      </x:c>
      <x:c r="M22" s="21" t="n">
        <x:v>0</x:v>
      </x:c>
      <x:c r="N22" s="21" t="n">
        <x:v>0.5</x:v>
      </x:c>
      <x:c r="O22" s="21" t="n">
        <x:v>1</x:v>
      </x:c>
      <x:c r="P22" s="21" t="n">
        <x:f>SUM(D22:O22)</x:f>
        <x:v>8.5</x:v>
      </x:c>
      <x:c r="Q22" s="21" t="n">
        <x:f>COUNT(D22:O22)</x:f>
        <x:v>12</x:v>
      </x:c>
      <x:c r="R22" s="23" t="n">
        <x:f>P22/Q22*100</x:f>
        <x:v>70.83333333333334</x:v>
      </x:c>
      <x:c r="S22" s="21" t="str">
        <x:f>IF(R22&lt;40,"Low",IF(R22&lt;70,"Moderate","High"))</x:f>
        <x:v>High</x:v>
      </x:c>
    </x:row>
    <x:row r="23" ht="15" hidden="0" customHeight="1">
      <x:c r="A23" s="10" t="str">
        <x:v>S22</x:v>
      </x:c>
      <x:c r="B23" s="10" t="n">
        <x:v>188</x:v>
      </x:c>
      <x:c r="C23" s="10" t="n">
        <x:v>2025</x:v>
      </x:c>
      <x:c r="D23" s="10" t="n">
        <x:v>1</x:v>
      </x:c>
      <x:c r="E23" s="10" t="n">
        <x:v>1</x:v>
      </x:c>
      <x:c r="F23" s="10" t="n">
        <x:v>0.5</x:v>
      </x:c>
      <x:c r="G23" s="10" t="n">
        <x:v>0.5</x:v>
      </x:c>
      <x:c r="H23" s="10" t="n">
        <x:v>0.5</x:v>
      </x:c>
      <x:c r="I23" s="10" t="n">
        <x:v>0</x:v>
      </x:c>
      <x:c r="J23" s="10" t="n">
        <x:v>0.5</x:v>
      </x:c>
      <x:c r="K23" s="10" t="n">
        <x:v>0.5</x:v>
      </x:c>
      <x:c r="L23" s="10" t="n">
        <x:v>0.5</x:v>
      </x:c>
      <x:c r="M23" s="10" t="n">
        <x:v>1</x:v>
      </x:c>
      <x:c r="N23" s="10" t="n">
        <x:v>1</x:v>
      </x:c>
      <x:c r="O23" s="10" t="n">
        <x:v>1</x:v>
      </x:c>
      <x:c r="P23" s="10" t="n">
        <x:f>SUM(D23:O23)</x:f>
        <x:v>8</x:v>
      </x:c>
      <x:c r="Q23" s="10" t="n">
        <x:f>COUNT(D23:O23)</x:f>
        <x:v>12</x:v>
      </x:c>
      <x:c r="R23" s="17" t="n">
        <x:f>P23/Q23*100</x:f>
        <x:v>66.66666666666666</x:v>
      </x:c>
      <x:c r="S23" s="10" t="str">
        <x:f>IF(R23&lt;40,"Low",IF(R23&lt;70,"Moderate","High"))</x:f>
        <x:v>Moderate</x:v>
      </x:c>
    </x:row>
    <x:row r="24" ht="15" hidden="0" customHeight="1">
      <x:c r="A24" s="21" t="str">
        <x:v>S23</x:v>
      </x:c>
      <x:c r="B24" s="21" t="n">
        <x:v>254</x:v>
      </x:c>
      <x:c r="C24" s="21" t="n">
        <x:v>2025</x:v>
      </x:c>
      <x:c r="D24" s="21" t="n">
        <x:v>1</x:v>
      </x:c>
      <x:c r="E24" s="21" t="n">
        <x:v>1</x:v>
      </x:c>
      <x:c r="F24" s="21" t="n">
        <x:v>0</x:v>
      </x:c>
      <x:c r="G24" s="21" t="n">
        <x:v>0.5</x:v>
      </x:c>
      <x:c r="H24" s="21" t="n">
        <x:v>0.5</x:v>
      </x:c>
      <x:c r="I24" s="21" t="n">
        <x:v>1</x:v>
      </x:c>
      <x:c r="J24" s="21" t="n">
        <x:v>0.5</x:v>
      </x:c>
      <x:c r="K24" s="21" t="n">
        <x:v>0</x:v>
      </x:c>
      <x:c r="L24" s="21" t="n">
        <x:v>0.5</x:v>
      </x:c>
      <x:c r="M24" s="21" t="n">
        <x:v>1</x:v>
      </x:c>
      <x:c r="N24" s="21" t="n">
        <x:v>1</x:v>
      </x:c>
      <x:c r="O24" s="21" t="n">
        <x:v>0.5</x:v>
      </x:c>
      <x:c r="P24" s="21" t="n">
        <x:f>SUM(D24:O24)</x:f>
        <x:v>7.5</x:v>
      </x:c>
      <x:c r="Q24" s="21" t="n">
        <x:f>COUNT(D24:O24)</x:f>
        <x:v>12</x:v>
      </x:c>
      <x:c r="R24" s="23" t="n">
        <x:f>P24/Q24*100</x:f>
        <x:v>62.5</x:v>
      </x:c>
      <x:c r="S24" s="21" t="str">
        <x:f>IF(R24&lt;40,"Low",IF(R24&lt;70,"Moderate","High"))</x:f>
        <x:v>Moderate</x:v>
      </x:c>
    </x:row>
    <x:row r="25" ht="15" hidden="0" customHeight="1">
      <x:c r="A25" s="10" t="str">
        <x:v>S24</x:v>
      </x:c>
      <x:c r="B25" s="10" t="n">
        <x:v>275</x:v>
      </x:c>
      <x:c r="C25" s="10" t="n">
        <x:v>2025</x:v>
      </x:c>
      <x:c r="D25" s="10" t="n">
        <x:v>1</x:v>
      </x:c>
      <x:c r="E25" s="10" t="n">
        <x:v>1</x:v>
      </x:c>
      <x:c r="F25" s="10" t="n">
        <x:v>1</x:v>
      </x:c>
      <x:c r="G25" s="10" t="n">
        <x:v>1</x:v>
      </x:c>
      <x:c r="H25" s="10" t="n">
        <x:v>1</x:v>
      </x:c>
      <x:c r="I25" s="10" t="n">
        <x:v>0</x:v>
      </x:c>
      <x:c r="J25" s="10" t="n">
        <x:v>1</x:v>
      </x:c>
      <x:c r="K25" s="10" t="n">
        <x:v>0.5</x:v>
      </x:c>
      <x:c r="L25" s="10" t="n">
        <x:v>1</x:v>
      </x:c>
      <x:c r="M25" s="10" t="n">
        <x:v>1</x:v>
      </x:c>
      <x:c r="N25" s="10" t="n">
        <x:v>1</x:v>
      </x:c>
      <x:c r="O25" s="10" t="n">
        <x:v>1</x:v>
      </x:c>
      <x:c r="P25" s="10" t="n">
        <x:f>SUM(D25:O25)</x:f>
        <x:v>10.5</x:v>
      </x:c>
      <x:c r="Q25" s="10" t="n">
        <x:f>COUNT(D25:O25)</x:f>
        <x:v>12</x:v>
      </x:c>
      <x:c r="R25" s="17" t="n">
        <x:f>P25/Q25*100</x:f>
        <x:v>87.5</x:v>
      </x:c>
      <x:c r="S25" s="10" t="str">
        <x:f>IF(R25&lt;40,"Low",IF(R25&lt;70,"Moderate","High"))</x:f>
        <x:v>High</x:v>
      </x:c>
    </x:row>
    <x:row r="26" ht="15" hidden="0" customHeight="1">
      <x:c r="A26" s="21" t="str">
        <x:v>S25</x:v>
      </x:c>
      <x:c r="B26" s="21" t="n">
        <x:v>277</x:v>
      </x:c>
      <x:c r="C26" s="21" t="n">
        <x:v>2025</x:v>
      </x:c>
      <x:c r="D26" s="21" t="n">
        <x:v>1</x:v>
      </x:c>
      <x:c r="E26" s="21" t="n">
        <x:v>1</x:v>
      </x:c>
      <x:c r="F26" s="21" t="n">
        <x:v>1</x:v>
      </x:c>
      <x:c r="G26" s="21" t="n">
        <x:v>1</x:v>
      </x:c>
      <x:c r="H26" s="21" t="n">
        <x:v>1</x:v>
      </x:c>
      <x:c r="I26" s="21" t="n">
        <x:v>1</x:v>
      </x:c>
      <x:c r="J26" s="21" t="n">
        <x:v>1</x:v>
      </x:c>
      <x:c r="K26" s="21" t="n">
        <x:v>0.5</x:v>
      </x:c>
      <x:c r="L26" s="21" t="n">
        <x:v>1</x:v>
      </x:c>
      <x:c r="M26" s="21" t="n">
        <x:v>1</x:v>
      </x:c>
      <x:c r="N26" s="21" t="n">
        <x:v>1</x:v>
      </x:c>
      <x:c r="O26" s="21" t="n">
        <x:v>1</x:v>
      </x:c>
      <x:c r="P26" s="21" t="n">
        <x:f>SUM(D26:O26)</x:f>
        <x:v>11.5</x:v>
      </x:c>
      <x:c r="Q26" s="21" t="n">
        <x:f>COUNT(D26:O26)</x:f>
        <x:v>12</x:v>
      </x:c>
      <x:c r="R26" s="23" t="n">
        <x:f>P26/Q26*100</x:f>
        <x:v>95.83333333333334</x:v>
      </x:c>
      <x:c r="S26" s="21" t="str">
        <x:f>IF(R26&lt;40,"Low",IF(R26&lt;70,"Moderate","High"))</x:f>
        <x:v>High</x:v>
      </x:c>
    </x:row>
    <x:row r="27" ht="15" hidden="0" customHeight="1">
      <x:c r="A27" s="10" t="str">
        <x:v>S26</x:v>
      </x:c>
      <x:c r="B27" s="10" t="n">
        <x:v>290</x:v>
      </x:c>
      <x:c r="C27" s="10" t="n">
        <x:v>2025</x:v>
      </x:c>
      <x:c r="D27" s="10" t="n">
        <x:v>1</x:v>
      </x:c>
      <x:c r="E27" s="10" t="n">
        <x:v>1</x:v>
      </x:c>
      <x:c r="F27" s="10" t="n">
        <x:v>0.5</x:v>
      </x:c>
      <x:c r="G27" s="10" t="n">
        <x:v>0.5</x:v>
      </x:c>
      <x:c r="H27" s="10" t="n">
        <x:v>0.5</x:v>
      </x:c>
      <x:c r="I27" s="10" t="n">
        <x:v>0.5</x:v>
      </x:c>
      <x:c r="J27" s="10" t="n">
        <x:v>0.5</x:v>
      </x:c>
      <x:c r="K27" s="10" t="n">
        <x:v>0</x:v>
      </x:c>
      <x:c r="L27" s="10" t="n">
        <x:v>0.5</x:v>
      </x:c>
      <x:c r="M27" s="10" t="n">
        <x:v>0</x:v>
      </x:c>
      <x:c r="N27" s="10" t="n">
        <x:v>1</x:v>
      </x:c>
      <x:c r="O27" s="10" t="n">
        <x:v>1</x:v>
      </x:c>
      <x:c r="P27" s="10" t="n">
        <x:f>SUM(D27:O27)</x:f>
        <x:v>7</x:v>
      </x:c>
      <x:c r="Q27" s="10" t="n">
        <x:f>COUNT(D27:O27)</x:f>
        <x:v>12</x:v>
      </x:c>
      <x:c r="R27" s="17" t="n">
        <x:f>P27/Q27*100</x:f>
        <x:v>58.333333333333336</x:v>
      </x:c>
      <x:c r="S27" s="10" t="str">
        <x:f>IF(R27&lt;40,"Low",IF(R27&lt;70,"Moderate","High"))</x:f>
        <x:v>Moderate</x:v>
      </x:c>
    </x:row>
    <x:row r="28" ht="15" hidden="0" customHeight="1">
      <x:c r="A28" s="21" t="str">
        <x:v>S27</x:v>
      </x:c>
      <x:c r="B28" s="21" t="n">
        <x:v>420</x:v>
      </x:c>
      <x:c r="C28" s="21" t="n">
        <x:v>2025</x:v>
      </x:c>
      <x:c r="D28" s="21" t="n">
        <x:v>1</x:v>
      </x:c>
      <x:c r="E28" s="21" t="n">
        <x:v>1</x:v>
      </x:c>
      <x:c r="F28" s="21" t="n">
        <x:v>1</x:v>
      </x:c>
      <x:c r="G28" s="21" t="n">
        <x:v>0.5</x:v>
      </x:c>
      <x:c r="H28" s="21" t="n">
        <x:v>0.5</x:v>
      </x:c>
      <x:c r="I28" s="21" t="n">
        <x:v>1</x:v>
      </x:c>
      <x:c r="J28" s="21" t="n">
        <x:v>1</x:v>
      </x:c>
      <x:c r="K28" s="21" t="n">
        <x:v>0.5</x:v>
      </x:c>
      <x:c r="L28" s="21" t="n">
        <x:v>0.5</x:v>
      </x:c>
      <x:c r="M28" s="21" t="n">
        <x:v>0.5</x:v>
      </x:c>
      <x:c r="N28" s="21" t="n">
        <x:v>1</x:v>
      </x:c>
      <x:c r="O28" s="21" t="n">
        <x:v>1</x:v>
      </x:c>
      <x:c r="P28" s="21" t="n">
        <x:f>SUM(D28:O28)</x:f>
        <x:v>9.5</x:v>
      </x:c>
      <x:c r="Q28" s="21" t="n">
        <x:f>COUNT(D28:O28)</x:f>
        <x:v>12</x:v>
      </x:c>
      <x:c r="R28" s="23" t="n">
        <x:f>P28/Q28*100</x:f>
        <x:v>79.16666666666666</x:v>
      </x:c>
      <x:c r="S28" s="21" t="str">
        <x:f>IF(R28&lt;40,"Low",IF(R28&lt;70,"Moderate","High"))</x:f>
        <x:v>High</x:v>
      </x:c>
    </x:row>
    <x:row r="29" ht="15" hidden="0" customHeight="1">
      <x:c r="A29" s="10" t="str">
        <x:v>S28</x:v>
      </x:c>
      <x:c r="B29" s="10" t="n">
        <x:v>437</x:v>
      </x:c>
      <x:c r="C29" s="10" t="n">
        <x:v>2025</x:v>
      </x:c>
      <x:c r="D29" s="10" t="n">
        <x:v>1</x:v>
      </x:c>
      <x:c r="E29" s="10" t="n">
        <x:v>1</x:v>
      </x:c>
      <x:c r="F29" s="10" t="n">
        <x:v>1</x:v>
      </x:c>
      <x:c r="G29" s="10" t="n">
        <x:v>0.5</x:v>
      </x:c>
      <x:c r="H29" s="10" t="n">
        <x:v>0.5</x:v>
      </x:c>
      <x:c r="I29" s="10" t="n">
        <x:v>1</x:v>
      </x:c>
      <x:c r="J29" s="10" t="n">
        <x:v>1</x:v>
      </x:c>
      <x:c r="K29" s="10" t="n">
        <x:v>0.5</x:v>
      </x:c>
      <x:c r="L29" s="10" t="n">
        <x:v>0.5</x:v>
      </x:c>
      <x:c r="M29" s="10" t="n">
        <x:v>0.5</x:v>
      </x:c>
      <x:c r="N29" s="10" t="n">
        <x:v>1</x:v>
      </x:c>
      <x:c r="O29" s="10" t="n">
        <x:v>1</x:v>
      </x:c>
      <x:c r="P29" s="10" t="n">
        <x:f>SUM(D29:O29)</x:f>
        <x:v>9.5</x:v>
      </x:c>
      <x:c r="Q29" s="10" t="n">
        <x:f>COUNT(D29:O29)</x:f>
        <x:v>12</x:v>
      </x:c>
      <x:c r="R29" s="17" t="n">
        <x:f>P29/Q29*100</x:f>
        <x:v>79.16666666666666</x:v>
      </x:c>
      <x:c r="S29" s="10" t="str">
        <x:f>IF(R29&lt;40,"Low",IF(R29&lt;70,"Moderate","High"))</x:f>
        <x:v>High</x:v>
      </x:c>
    </x:row>
    <x:row r="30" ht="15" hidden="0" customHeight="1">
      <x:c r="A30" s="21" t="str">
        <x:v>S29</x:v>
      </x:c>
      <x:c r="B30" s="21" t="n">
        <x:v>445</x:v>
      </x:c>
      <x:c r="C30" s="21" t="n">
        <x:v>2025</x:v>
      </x:c>
      <x:c r="D30" s="21" t="n">
        <x:v>1</x:v>
      </x:c>
      <x:c r="E30" s="21" t="n">
        <x:v>1</x:v>
      </x:c>
      <x:c r="F30" s="21" t="n">
        <x:v>0.5</x:v>
      </x:c>
      <x:c r="G30" s="21" t="n">
        <x:v>0.5</x:v>
      </x:c>
      <x:c r="H30" s="21" t="n">
        <x:v>0.5</x:v>
      </x:c>
      <x:c r="I30" s="21" t="n">
        <x:v>1</x:v>
      </x:c>
      <x:c r="J30" s="21" t="n">
        <x:v>1</x:v>
      </x:c>
      <x:c r="K30" s="21" t="n">
        <x:v>0.5</x:v>
      </x:c>
      <x:c r="L30" s="21" t="n">
        <x:v>1</x:v>
      </x:c>
      <x:c r="M30" s="21" t="n">
        <x:v>0</x:v>
      </x:c>
      <x:c r="N30" s="21" t="n">
        <x:v>1</x:v>
      </x:c>
      <x:c r="O30" s="21" t="n">
        <x:v>1</x:v>
      </x:c>
      <x:c r="P30" s="21" t="n">
        <x:f>SUM(D30:O30)</x:f>
        <x:v>9</x:v>
      </x:c>
      <x:c r="Q30" s="21" t="n">
        <x:f>COUNT(D30:O30)</x:f>
        <x:v>12</x:v>
      </x:c>
      <x:c r="R30" s="23" t="n">
        <x:f>P30/Q30*100</x:f>
        <x:v>75</x:v>
      </x:c>
      <x:c r="S30" s="21" t="str">
        <x:f>IF(R30&lt;40,"Low",IF(R30&lt;70,"Moderate","High"))</x:f>
        <x:v>High</x:v>
      </x:c>
    </x:row>
    <x:row r="31" ht="15" hidden="0" customHeight="1">
      <x:c r="A31" s="10" t="str">
        <x:v>S30</x:v>
      </x:c>
      <x:c r="B31" s="10" t="n">
        <x:v>505</x:v>
      </x:c>
      <x:c r="C31" s="10" t="n">
        <x:v>2024</x:v>
      </x:c>
      <x:c r="D31" s="10" t="n">
        <x:v>1</x:v>
      </x:c>
      <x:c r="E31" s="10" t="n">
        <x:v>1</x:v>
      </x:c>
      <x:c r="F31" s="10" t="n">
        <x:v>0.5</x:v>
      </x:c>
      <x:c r="G31" s="10" t="n">
        <x:v>0.5</x:v>
      </x:c>
      <x:c r="H31" s="10" t="n">
        <x:v>0.5</x:v>
      </x:c>
      <x:c r="I31" s="10" t="n">
        <x:v>1</x:v>
      </x:c>
      <x:c r="J31" s="10" t="n">
        <x:v>1</x:v>
      </x:c>
      <x:c r="K31" s="10" t="n">
        <x:v>0.5</x:v>
      </x:c>
      <x:c r="L31" s="10" t="n">
        <x:v>1</x:v>
      </x:c>
      <x:c r="M31" s="10" t="n">
        <x:v>0</x:v>
      </x:c>
      <x:c r="N31" s="10" t="n">
        <x:v>1</x:v>
      </x:c>
      <x:c r="O31" s="10" t="n">
        <x:v>1</x:v>
      </x:c>
      <x:c r="P31" s="10" t="n">
        <x:f>SUM(D31:O31)</x:f>
        <x:v>9</x:v>
      </x:c>
      <x:c r="Q31" s="10" t="n">
        <x:f>COUNT(D31:O31)</x:f>
        <x:v>12</x:v>
      </x:c>
      <x:c r="R31" s="17" t="n">
        <x:f>P31/Q31*100</x:f>
        <x:v>75</x:v>
      </x:c>
      <x:c r="S31" s="10" t="str">
        <x:f>IF(R31&lt;40,"Low",IF(R31&lt;70,"Moderate","High"))</x:f>
        <x:v>High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96" hidden="0" customWidth="1"/>
  </x:cols>
  <x:sheetData>
    <x:row r="1" ht="15" hidden="0" customHeight="1">
      <x:c r="A1" s="15" t="str">
        <x:v>Criterion</x:v>
      </x:c>
      <x:c r="B1" s="15" t="str">
        <x:v>Assessment question</x:v>
      </x:c>
    </x:row>
    <x:row r="2" ht="15" hidden="0" customHeight="1">
      <x:c r="A2" s="21" t="str">
        <x:v>QA1</x:v>
      </x:c>
      <x:c r="B2" s="21" t="str">
        <x:v>Are the objectives and logistics problem clearly described?</x:v>
      </x:c>
    </x:row>
    <x:row r="3" ht="15" hidden="0" customHeight="1">
      <x:c r="A3" s="10" t="str">
        <x:v>QA2</x:v>
      </x:c>
      <x:c r="B3" s="10" t="str">
        <x:v>Are the agents, architecture, roles, and interactions specified?</x:v>
      </x:c>
    </x:row>
    <x:row r="4" ht="15" hidden="0" customHeight="1">
      <x:c r="A4" s="21" t="str">
        <x:v>QA3</x:v>
      </x:c>
      <x:c r="B4" s="21" t="str">
        <x:v>Are the claimed capabilities and autonomy demonstrated?</x:v>
      </x:c>
    </x:row>
    <x:row r="5" ht="15" hidden="0" customHeight="1">
      <x:c r="A5" s="10" t="str">
        <x:v>QA4</x:v>
      </x:c>
      <x:c r="B5" s="10" t="str">
        <x:v>Are the data, tools, systems, and evaluation environment described?</x:v>
      </x:c>
    </x:row>
    <x:row r="6" ht="15" hidden="0" customHeight="1">
      <x:c r="A6" s="21" t="str">
        <x:v>QA5</x:v>
      </x:c>
      <x:c r="B6" s="21" t="str">
        <x:v>Is the research/evaluation method appropriate to the objectives?</x:v>
      </x:c>
    </x:row>
    <x:row r="7" ht="15" hidden="0" customHeight="1">
      <x:c r="A7" s="10" t="str">
        <x:v>QA6</x:v>
      </x:c>
      <x:c r="B7" s="10" t="str">
        <x:v>Is there a comparison with a baseline, conventional method, or human process?</x:v>
      </x:c>
    </x:row>
    <x:row r="8" ht="15" hidden="0" customHeight="1">
      <x:c r="A8" s="21" t="str">
        <x:v>QA7</x:v>
      </x:c>
      <x:c r="B8" s="21" t="str">
        <x:v>Are the metrics, results, and analysis presented clearly?</x:v>
      </x:c>
    </x:row>
    <x:row r="9" ht="15" hidden="0" customHeight="1">
      <x:c r="A9" s="10" t="str">
        <x:v>QA8</x:v>
      </x:c>
      <x:c r="B9" s="10" t="str">
        <x:v>Is sufficient detail provided for replication or reproducibility?</x:v>
      </x:c>
    </x:row>
    <x:row r="10" ht="15" hidden="0" customHeight="1">
      <x:c r="A10" s="21" t="str">
        <x:v>QA9</x:v>
      </x:c>
      <x:c r="B10" s="21" t="str">
        <x:v>Is validation performed using simulation, a benchmark, real data, a case study, or a pilot?</x:v>
      </x:c>
    </x:row>
    <x:row r="11" ht="15" hidden="0" customHeight="1">
      <x:c r="A11" s="10" t="str">
        <x:v>QA10</x:v>
      </x:c>
      <x:c r="B11" s="10" t="str">
        <x:v>Are limitations and threats to validity discussed?</x:v>
      </x:c>
    </x:row>
    <x:row r="12" ht="15" hidden="0" customHeight="1">
      <x:c r="A12" s="21" t="str">
        <x:v>QA11</x:v>
      </x:c>
      <x:c r="B12" s="21" t="str">
        <x:v>Are the conclusions supported by the reported results?</x:v>
      </x:c>
    </x:row>
    <x:row r="13" ht="15" hidden="0" customHeight="1">
      <x:c r="A13" s="10" t="str">
        <x:v>QA12</x:v>
      </x:c>
      <x:c r="B13" s="10" t="str">
        <x:v>Is there evidence that the agentic component contributes to the results?</x:v>
      </x:c>
    </x:row>
    <x:row r="14">
      <x:c r="A14" s="24"/>
      <x:c r="B14" s="24"/>
    </x:row>
    <x:row r="15">
      <x:c r="A15" s="18" t="str">
        <x:v>Allowed scores</x:v>
      </x:c>
      <x:c r="B15" s="19" t="str">
        <x:v>1 = yes; 0.5 = partial; 0 = no; N/A = not applicable</x:v>
      </x:c>
    </x:row>
    <x:row r="16">
      <x:c r="A16" s="25" t="str">
        <x:v>Formula</x:v>
      </x:c>
      <x:c r="B16" s="26" t="str">
        <x:v>Quality score = score sum / applicable criteria × 100</x:v>
      </x:c>
    </x:row>
    <x:row r="17">
      <x:c r="A17" s="18" t="str">
        <x:v>Classes</x:v>
      </x:c>
      <x:c r="B17" s="19" t="str">
        <x:v>Low &lt;40%; Moderate 40%–69.9%; High ≥70%</x:v>
      </x:c>
    </x:row>
    <x:row r="18">
      <x:c r="A18" s="25" t="str">
        <x:v>Interpretation</x:v>
      </x:c>
      <x:c r="B18" s="26" t="str">
        <x:v>Quality assesses methodological reporting and rigor; it must not be treated as equivalent to evidence maturity.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2" hidden="0" customWidth="1"/>
    <x:col min="3" max="3" width="14" hidden="0" customWidth="1"/>
    <x:col min="4" max="4" width="18" hidden="0" customWidth="1"/>
  </x:cols>
  <x:sheetData>
    <x:row r="1" ht="15" hidden="0" customHeight="1">
      <x:c r="A1" s="15" t="str">
        <x:v>Dimension</x:v>
      </x:c>
      <x:c r="B1" s="15" t="str">
        <x:v>Category</x:v>
      </x:c>
      <x:c r="C1" s="15" t="str">
        <x:v>Studies (n)</x:v>
      </x:c>
      <x:c r="D1" s="15" t="str">
        <x:v>Share of corpus</x:v>
      </x:c>
    </x:row>
    <x:row r="2" ht="15" hidden="0" customHeight="1">
      <x:c r="A2" s="21" t="str">
        <x:v>Logistics operations</x:v>
      </x:c>
      <x:c r="B2" s="21" t="str">
        <x:v>Supply chain planning</x:v>
      </x:c>
      <x:c r="C2" s="21" t="n">
        <x:v>21</x:v>
      </x:c>
      <x:c r="D2" s="27" t="n">
        <x:v>0.7</x:v>
      </x:c>
    </x:row>
    <x:row r="3" ht="15" hidden="0" customHeight="1">
      <x:c r="A3" s="10" t="str">
        <x:v>Logistics operations</x:v>
      </x:c>
      <x:c r="B3" s="10" t="str">
        <x:v>Inventory management</x:v>
      </x:c>
      <x:c r="C3" s="10" t="n">
        <x:v>18</x:v>
      </x:c>
      <x:c r="D3" s="20" t="n">
        <x:v>0.6</x:v>
      </x:c>
    </x:row>
    <x:row r="4" ht="15" hidden="0" customHeight="1">
      <x:c r="A4" s="21" t="str">
        <x:v>Logistics operations</x:v>
      </x:c>
      <x:c r="B4" s="21" t="str">
        <x:v>Transportation</x:v>
      </x:c>
      <x:c r="C4" s="21" t="n">
        <x:v>16</x:v>
      </x:c>
      <x:c r="D4" s="27" t="n">
        <x:v>0.5333333333329999</x:v>
      </x:c>
    </x:row>
    <x:row r="5" ht="15" hidden="0" customHeight="1">
      <x:c r="A5" s="10" t="str">
        <x:v>Logistics operations</x:v>
      </x:c>
      <x:c r="B5" s="10" t="str">
        <x:v>Routing</x:v>
      </x:c>
      <x:c r="C5" s="10" t="n">
        <x:v>10</x:v>
      </x:c>
      <x:c r="D5" s="20" t="n">
        <x:v>0.33333333333299997</x:v>
      </x:c>
    </x:row>
    <x:row r="6" ht="15" hidden="0" customHeight="1">
      <x:c r="A6" s="21" t="str">
        <x:v>Logistics operations</x:v>
      </x:c>
      <x:c r="B6" s="21" t="str">
        <x:v>Purchasing</x:v>
      </x:c>
      <x:c r="C6" s="21" t="n">
        <x:v>10</x:v>
      </x:c>
      <x:c r="D6" s="27" t="n">
        <x:v>0.33333333333299997</x:v>
      </x:c>
    </x:row>
    <x:row r="7" ht="15" hidden="0" customHeight="1">
      <x:c r="A7" s="10" t="str">
        <x:v>Logistics operations</x:v>
      </x:c>
      <x:c r="B7" s="10" t="str">
        <x:v>Warehousing</x:v>
      </x:c>
      <x:c r="C7" s="10" t="n">
        <x:v>9</x:v>
      </x:c>
      <x:c r="D7" s="20" t="n">
        <x:v>0.3</x:v>
      </x:c>
    </x:row>
    <x:row r="8" ht="15" hidden="0" customHeight="1">
      <x:c r="A8" s="21" t="str">
        <x:v>Paradigms and architectures</x:v>
      </x:c>
      <x:c r="B8" s="21" t="str">
        <x:v>Multi-agent systems</x:v>
      </x:c>
      <x:c r="C8" s="21" t="n">
        <x:v>21</x:v>
      </x:c>
      <x:c r="D8" s="27" t="n">
        <x:v>0.7</x:v>
      </x:c>
    </x:row>
    <x:row r="9" ht="15" hidden="0" customHeight="1">
      <x:c r="A9" s="10" t="str">
        <x:v>Paradigms and architectures</x:v>
      </x:c>
      <x:c r="B9" s="10" t="str">
        <x:v>LLM-based agents</x:v>
      </x:c>
      <x:c r="C9" s="10" t="n">
        <x:v>21</x:v>
      </x:c>
      <x:c r="D9" s="20" t="n">
        <x:v>0.7</x:v>
      </x:c>
    </x:row>
    <x:row r="10" ht="15" hidden="0" customHeight="1">
      <x:c r="A10" s="21" t="str">
        <x:v>Paradigms and architectures</x:v>
      </x:c>
      <x:c r="B10" s="21" t="str">
        <x:v>Explicit agentic AI approaches</x:v>
      </x:c>
      <x:c r="C10" s="21" t="n">
        <x:v>18</x:v>
      </x:c>
      <x:c r="D10" s="27" t="n">
        <x:v>0.6</x:v>
      </x:c>
    </x:row>
    <x:row r="11" ht="15" hidden="0" customHeight="1">
      <x:c r="A11" s="10" t="str">
        <x:v>Paradigms and architectures</x:v>
      </x:c>
      <x:c r="B11" s="10" t="str">
        <x:v>Hierarchical architectures</x:v>
      </x:c>
      <x:c r="C11" s="10" t="n">
        <x:v>15</x:v>
      </x:c>
      <x:c r="D11" s="20" t="n">
        <x:v>0.5</x:v>
      </x:c>
    </x:row>
    <x:row r="12" ht="15" hidden="0" customHeight="1">
      <x:c r="A12" s="21" t="str">
        <x:v>Paradigms and architectures</x:v>
      </x:c>
      <x:c r="B12" s="21" t="str">
        <x:v>Intelligent-agent approaches</x:v>
      </x:c>
      <x:c r="C12" s="21" t="n">
        <x:v>10</x:v>
      </x:c>
      <x:c r="D12" s="27" t="n">
        <x:v>0.33333333333299997</x:v>
      </x:c>
    </x:row>
    <x:row r="13" ht="15" hidden="0" customHeight="1">
      <x:c r="A13" s="10" t="str">
        <x:v>Paradigms and architectures</x:v>
      </x:c>
      <x:c r="B13" s="10" t="str">
        <x:v>Hybrid systems</x:v>
      </x:c>
      <x:c r="C13" s="10" t="n">
        <x:v>8</x:v>
      </x:c>
      <x:c r="D13" s="20" t="n">
        <x:v>0.266666666667</x:v>
      </x:c>
    </x:row>
    <x:row r="14" ht="15" hidden="0" customHeight="1">
      <x:c r="A14" s="21" t="str">
        <x:v>Paradigms and architectures</x:v>
      </x:c>
      <x:c r="B14" s="21" t="str">
        <x:v>Reinforcement-learning agents</x:v>
      </x:c>
      <x:c r="C14" s="21" t="n">
        <x:v>7</x:v>
      </x:c>
      <x:c r="D14" s="27" t="n">
        <x:v>0.233333333333</x:v>
      </x:c>
    </x:row>
    <x:row r="15" ht="15" hidden="0" customHeight="1">
      <x:c r="A15" s="10" t="str">
        <x:v>Paradigms and architectures</x:v>
      </x:c>
      <x:c r="B15" s="10" t="str">
        <x:v>Explicitly decentralized architectures</x:v>
      </x:c>
      <x:c r="C15" s="10" t="n">
        <x:v>5</x:v>
      </x:c>
      <x:c r="D15" s="20" t="n">
        <x:v>0.166666666667</x:v>
      </x:c>
    </x:row>
    <x:row r="16" ht="15" hidden="0" customHeight="1">
      <x:c r="A16" s="21" t="str">
        <x:v>Demonstrated capabilities</x:v>
      </x:c>
      <x:c r="B16" s="21" t="str">
        <x:v>Decision-making</x:v>
      </x:c>
      <x:c r="C16" s="21" t="n">
        <x:v>29</x:v>
      </x:c>
      <x:c r="D16" s="27" t="n">
        <x:v>0.966666666667</x:v>
      </x:c>
    </x:row>
    <x:row r="17" ht="15" hidden="0" customHeight="1">
      <x:c r="A17" s="10" t="str">
        <x:v>Demonstrated capabilities</x:v>
      </x:c>
      <x:c r="B17" s="10" t="str">
        <x:v>Coordination</x:v>
      </x:c>
      <x:c r="C17" s="10" t="n">
        <x:v>23</x:v>
      </x:c>
      <x:c r="D17" s="20" t="n">
        <x:v>0.766666666667</x:v>
      </x:c>
    </x:row>
    <x:row r="18" ht="15" hidden="0" customHeight="1">
      <x:c r="A18" s="21" t="str">
        <x:v>Demonstrated capabilities</x:v>
      </x:c>
      <x:c r="B18" s="21" t="str">
        <x:v>Orchestration</x:v>
      </x:c>
      <x:c r="C18" s="21" t="n">
        <x:v>22</x:v>
      </x:c>
      <x:c r="D18" s="27" t="n">
        <x:v>0.733333333333</x:v>
      </x:c>
    </x:row>
    <x:row r="19" ht="15" hidden="0" customHeight="1">
      <x:c r="A19" s="10" t="str">
        <x:v>Demonstrated capabilities</x:v>
      </x:c>
      <x:c r="B19" s="10" t="str">
        <x:v>Planning</x:v>
      </x:c>
      <x:c r="C19" s="10" t="n">
        <x:v>21</x:v>
      </x:c>
      <x:c r="D19" s="20" t="n">
        <x:v>0.7</x:v>
      </x:c>
    </x:row>
    <x:row r="20" ht="15" hidden="0" customHeight="1">
      <x:c r="A20" s="21" t="str">
        <x:v>Demonstrated capabilities</x:v>
      </x:c>
      <x:c r="B20" s="21" t="str">
        <x:v>Tool use</x:v>
      </x:c>
      <x:c r="C20" s="21" t="n">
        <x:v>19</x:v>
      </x:c>
      <x:c r="D20" s="27" t="n">
        <x:v>0.633333333333</x:v>
      </x:c>
    </x:row>
    <x:row r="21" ht="15" hidden="0" customHeight="1">
      <x:c r="A21" s="10" t="str">
        <x:v>Demonstrated capabilities</x:v>
      </x:c>
      <x:c r="B21" s="10" t="str">
        <x:v>Replanning</x:v>
      </x:c>
      <x:c r="C21" s="10" t="n">
        <x:v>18</x:v>
      </x:c>
      <x:c r="D21" s="20" t="n">
        <x:v>0.6</x:v>
      </x:c>
    </x:row>
    <x:row r="22" ht="15" hidden="0" customHeight="1">
      <x:c r="A22" s="21" t="str">
        <x:v>Demonstrated capabilities</x:v>
      </x:c>
      <x:c r="B22" s="21" t="str">
        <x:v>Reasoning</x:v>
      </x:c>
      <x:c r="C22" s="21" t="n">
        <x:v>16</x:v>
      </x:c>
      <x:c r="D22" s="27" t="n">
        <x:v>0.5333333333329999</x:v>
      </x:c>
    </x:row>
    <x:row r="23" ht="15" hidden="0" customHeight="1">
      <x:c r="A23" s="10" t="str">
        <x:v>Demonstrated capabilities</x:v>
      </x:c>
      <x:c r="B23" s="10" t="str">
        <x:v>Memory</x:v>
      </x:c>
      <x:c r="C23" s="10" t="n">
        <x:v>13</x:v>
      </x:c>
      <x:c r="D23" s="20" t="n">
        <x:v>0.43333333333299995</x:v>
      </x:c>
    </x:row>
    <x:row r="24" ht="15" hidden="0" customHeight="1">
      <x:c r="A24" s="21" t="str">
        <x:v>Demonstrated capabilities</x:v>
      </x:c>
      <x:c r="B24" s="21" t="str">
        <x:v>Context awareness</x:v>
      </x:c>
      <x:c r="C24" s="21" t="n">
        <x:v>7</x:v>
      </x:c>
      <x:c r="D24" s="27" t="n">
        <x:v>0.233333333333</x:v>
      </x:c>
    </x:row>
    <x:row r="25" ht="15" hidden="0" customHeight="1">
      <x:c r="A25" s="10" t="str">
        <x:v>Demonstrated capabilities</x:v>
      </x:c>
      <x:c r="B25" s="10" t="str">
        <x:v>Explicit human-in-the-loop interaction</x:v>
      </x:c>
      <x:c r="C25" s="10" t="n">
        <x:v>1</x:v>
      </x:c>
      <x:c r="D25" s="20" t="n">
        <x:v>0.033333333333</x:v>
      </x:c>
    </x:row>
    <x:row r="26" ht="15" hidden="0" customHeight="1">
      <x:c r="A26" s="21" t="str">
        <x:v>Confirmed autonomy</x:v>
      </x:c>
      <x:c r="B26" s="21" t="str">
        <x:v>L3 — Decision support</x:v>
      </x:c>
      <x:c r="C26" s="21" t="n">
        <x:v>7</x:v>
      </x:c>
      <x:c r="D26" s="27" t="n">
        <x:v>0.233333333333</x:v>
      </x:c>
    </x:row>
    <x:row r="27" ht="15" hidden="0" customHeight="1">
      <x:c r="A27" s="10" t="str">
        <x:v>Confirmed autonomy</x:v>
      </x:c>
      <x:c r="B27" s="10" t="str">
        <x:v>L4 — Supervised execution</x:v>
      </x:c>
      <x:c r="C27" s="10" t="n">
        <x:v>3</x:v>
      </x:c>
      <x:c r="D27" s="20" t="n">
        <x:v>0.1</x:v>
      </x:c>
    </x:row>
    <x:row r="28" ht="15" hidden="0" customHeight="1">
      <x:c r="A28" s="21" t="str">
        <x:v>Confirmed autonomy</x:v>
      </x:c>
      <x:c r="B28" s="21" t="str">
        <x:v>L5 — Conditional autonomy</x:v>
      </x:c>
      <x:c r="C28" s="21" t="n">
        <x:v>16</x:v>
      </x:c>
      <x:c r="D28" s="27" t="n">
        <x:v>0.5333333333329999</x:v>
      </x:c>
    </x:row>
    <x:row r="29" ht="15" hidden="0" customHeight="1">
      <x:c r="A29" s="10" t="str">
        <x:v>Confirmed autonomy</x:v>
      </x:c>
      <x:c r="B29" s="10" t="str">
        <x:v>L6 — Full operational autonomy</x:v>
      </x:c>
      <x:c r="C29" s="10" t="n">
        <x:v>4</x:v>
      </x:c>
      <x:c r="D29" s="20" t="n">
        <x:v>0.13333333333300001</x:v>
      </x:c>
    </x:row>
    <x:row r="30">
      <x:c r="A30" s="24"/>
      <x:c r="B30" s="24"/>
      <x:c r="C30" s="24"/>
      <x:c r="D30" s="24"/>
    </x:row>
    <x:row r="31">
      <x:c r="A31" s="18" t="str">
        <x:v>Interpretation note</x:v>
      </x:c>
      <x:c r="B31" s="19" t="str">
        <x:v>Percentages for multi-label dimensions do not sum to 100%.</x:v>
      </x:c>
      <x:c r="C31" s="19"/>
      <x:c r="D31" s="19"/>
    </x:row>
    <x:row r="32">
      <x:c r="A32" s="25" t="str">
        <x:v>Capability rule</x:v>
      </x:c>
      <x:c r="B32" s="26" t="str">
        <x:v>S06 is excluded from demonstrated-capability counts because it reports a conceptual practitioner model rather than an implemented system.</x:v>
      </x:c>
      <x:c r="C32" s="26"/>
      <x:c r="D32" s="26"/>
    </x:row>
    <x:row r="33">
      <x:c r="A33" s="18" t="str">
        <x:v>Rounding</x:v>
      </x:c>
      <x:c r="B33" s="19" t="str">
        <x:v>Percentages are calculated over the 30-study corpus; trailing decimal zeros are suppressed.</x:v>
      </x:c>
      <x:c r="C33" s="19"/>
      <x:c r="D33" s="19"/>
    </x:row>
  </x:sheetData>
  <x:pageMargins left="0.7" right="0.7" top="0.75" bottom="0.75" header="0.3" footer="0.3"/>
</x:worksheet>
</file>